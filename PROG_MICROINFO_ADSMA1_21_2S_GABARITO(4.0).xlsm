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hartsheets/sheet1.xml" ContentType="application/vnd.openxmlformats-officedocument.spreadsheetml.chart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trlProps/ctrlProp1.xml" ContentType="application/vnd.ms-excel.controlproperties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pivotTables/pivotTable1.xml" ContentType="application/vnd.openxmlformats-officedocument.spreadsheetml.pivotTable+xml"/>
  <Override PartName="/xl/drawings/drawing6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carregar_excel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https://fatecspgov.sharepoint.com/sites/Section_ILM001.A.M.048.168.20212/Shared Documents/Aula 09 - Prog. em Microinformática (23-09-21)/"/>
    </mc:Choice>
  </mc:AlternateContent>
  <xr:revisionPtr revIDLastSave="58" documentId="11_C570A27BADAEDA0C98FAAD97D202FE1E78998004" xr6:coauthVersionLast="47" xr6:coauthVersionMax="47" xr10:uidLastSave="{667D8127-89DC-417A-BE3D-0AC0ABA7CF60}"/>
  <bookViews>
    <workbookView minimized="1" xWindow="2295" yWindow="2295" windowWidth="9750" windowHeight="7875" tabRatio="1000" xr2:uid="{00000000-000D-0000-FFFF-FFFF00000000}"/>
  </bookViews>
  <sheets>
    <sheet name="HOME" sheetId="1" r:id="rId1"/>
    <sheet name="CONTAS LOGIN" sheetId="14" r:id="rId2"/>
    <sheet name="VENDAS" sheetId="2" r:id="rId3"/>
    <sheet name="APURAÇÃO SUBTOTAIS" sheetId="3" r:id="rId4"/>
    <sheet name="CONSOLIDAÇÃO VALORES" sheetId="8" r:id="rId5"/>
    <sheet name="TABELA DINÂMICA" sheetId="11" r:id="rId6"/>
    <sheet name="FINANÇAS" sheetId="13" r:id="rId7"/>
    <sheet name="DADOS GRÁFICO" sheetId="7" r:id="rId8"/>
    <sheet name="PEDIDOS" sheetId="6" r:id="rId9"/>
  </sheets>
  <functionGroups builtInGroupCount="19"/>
  <calcPr calcId="191028"/>
  <pivotCaches>
    <pivotCache cacheId="0" r:id="rId10"/>
  </pivotCache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10" i="2" l="1"/>
  <c r="H11" i="2"/>
  <c r="I11" i="2" s="1"/>
  <c r="H12" i="2"/>
  <c r="I12" i="2" s="1"/>
  <c r="H13" i="2"/>
  <c r="I13" i="2" s="1"/>
  <c r="H14" i="2"/>
  <c r="I14" i="2" s="1"/>
  <c r="H15" i="2"/>
  <c r="I15" i="2" s="1"/>
  <c r="H16" i="2"/>
  <c r="I16" i="2" s="1"/>
  <c r="H17" i="2"/>
  <c r="I17" i="2" s="1"/>
  <c r="H18" i="2"/>
  <c r="I18" i="2" s="1"/>
  <c r="H10" i="2"/>
  <c r="I10" i="2" s="1"/>
  <c r="F11" i="2"/>
  <c r="F12" i="2"/>
  <c r="F13" i="2"/>
  <c r="F14" i="2"/>
  <c r="F15" i="2"/>
  <c r="F16" i="2"/>
  <c r="F17" i="2"/>
  <c r="F18" i="2"/>
  <c r="F10" i="2"/>
  <c r="C11" i="2"/>
  <c r="C12" i="2"/>
  <c r="C13" i="2"/>
  <c r="C14" i="2"/>
  <c r="C15" i="2"/>
  <c r="C16" i="2"/>
  <c r="C17" i="2"/>
  <c r="C18" i="2"/>
  <c r="H20" i="2" l="1"/>
  <c r="H23" i="2" s="1"/>
  <c r="C142" i="3"/>
  <c r="C134" i="3"/>
  <c r="C125" i="3"/>
  <c r="C118" i="3"/>
  <c r="C111" i="3"/>
  <c r="C106" i="3"/>
  <c r="C97" i="3"/>
  <c r="C89" i="3"/>
  <c r="C82" i="3"/>
  <c r="C72" i="3"/>
  <c r="C62" i="3"/>
  <c r="C56" i="3"/>
  <c r="C48" i="3"/>
  <c r="C39" i="3"/>
  <c r="C32" i="3"/>
  <c r="C25" i="3"/>
  <c r="C16" i="3"/>
  <c r="H19" i="2"/>
  <c r="H22" i="2" l="1"/>
  <c r="H24" i="2" s="1"/>
  <c r="C143" i="3"/>
</calcChain>
</file>

<file path=xl/sharedStrings.xml><?xml version="1.0" encoding="utf-8"?>
<sst xmlns="http://schemas.openxmlformats.org/spreadsheetml/2006/main" count="485" uniqueCount="189">
  <si>
    <t>CADASTRO DE CONTAS</t>
  </si>
  <si>
    <t>ID CONTA</t>
  </si>
  <si>
    <t>NOME DE USUÁRIO</t>
  </si>
  <si>
    <t>E-MAIL</t>
  </si>
  <si>
    <t>SENHA</t>
  </si>
  <si>
    <t>TIPO CONTA</t>
  </si>
  <si>
    <t>STATUS CONTA</t>
  </si>
  <si>
    <t>Moquidesia</t>
  </si>
  <si>
    <t>moquidesia@fatec</t>
  </si>
  <si>
    <t>123</t>
  </si>
  <si>
    <t>Usuário</t>
  </si>
  <si>
    <t>ATIVA</t>
  </si>
  <si>
    <t>Lindolfo</t>
  </si>
  <si>
    <t>lindolfo@fatec</t>
  </si>
  <si>
    <t>ID DO CLIENTE</t>
  </si>
  <si>
    <t>DADOS DO CLIENTE</t>
  </si>
  <si>
    <t>Nome do Cliente</t>
  </si>
  <si>
    <t>CPF / CNPJ</t>
  </si>
  <si>
    <t>RG.</t>
  </si>
  <si>
    <t>DADOS DO(S) PRODUTO(S)</t>
  </si>
  <si>
    <t>ESTATÍSTICAS GERAIS - PRODUTOS</t>
  </si>
  <si>
    <t>ID DO PRODUTO</t>
  </si>
  <si>
    <t>DESCRIÇÃO DO PRODUTO</t>
  </si>
  <si>
    <t>DEPTO</t>
  </si>
  <si>
    <t>QTDE</t>
  </si>
  <si>
    <t>$ UNITÁRIO</t>
  </si>
  <si>
    <t>SUBTOTAL</t>
  </si>
  <si>
    <t>Segundo Menor $ Unitário</t>
  </si>
  <si>
    <t>Quarto Maior $ Unitário</t>
  </si>
  <si>
    <t>Média global do subtotal</t>
  </si>
  <si>
    <t>Subtotal - Produtos informática</t>
  </si>
  <si>
    <t>Subtotal - Produtos telefonia</t>
  </si>
  <si>
    <t>Subtotal - Produtos eletrônicos</t>
  </si>
  <si>
    <t>Qtde produtos de informática</t>
  </si>
  <si>
    <t>Qtde produtos de telefonia</t>
  </si>
  <si>
    <t>Qtde produtos eletrônicos</t>
  </si>
  <si>
    <t>Subtotal parcial</t>
  </si>
  <si>
    <t>Referências - Forma de Pagamento</t>
  </si>
  <si>
    <t>Forma de pagamento</t>
  </si>
  <si>
    <t>À Vista</t>
  </si>
  <si>
    <t>Desconto 20%</t>
  </si>
  <si>
    <t>Desconto concedido</t>
  </si>
  <si>
    <t>À Prazo - cheque</t>
  </si>
  <si>
    <t>Juros de 4,75%</t>
  </si>
  <si>
    <t>Valor da parcela - 3X</t>
  </si>
  <si>
    <t>3 vezes</t>
  </si>
  <si>
    <t>Juros de 9,69%</t>
  </si>
  <si>
    <t>Total a pagar</t>
  </si>
  <si>
    <t>Cartão Crédito</t>
  </si>
  <si>
    <t>Desconto 5%</t>
  </si>
  <si>
    <t>Elaborar apuração de subtotais, definindo o total de faturamento</t>
  </si>
  <si>
    <t>mensal de cada empresa fornecedora de produtos.</t>
  </si>
  <si>
    <t>Demonstrativo Mensal de Receitas  - Novembro  2012</t>
  </si>
  <si>
    <t xml:space="preserve">Empresas </t>
  </si>
  <si>
    <t>Valores</t>
  </si>
  <si>
    <t>Nº Notas Fiscais</t>
  </si>
  <si>
    <t>ACER</t>
  </si>
  <si>
    <t>ACER Total</t>
  </si>
  <si>
    <t>AOC</t>
  </si>
  <si>
    <t>AOC Total</t>
  </si>
  <si>
    <t>ATI COMPONENTES</t>
  </si>
  <si>
    <t>ATI COMPONENTES Total</t>
  </si>
  <si>
    <t>BENQ</t>
  </si>
  <si>
    <t>BENQ Total</t>
  </si>
  <si>
    <t>CREATIVE</t>
  </si>
  <si>
    <t>CREATIVE Total</t>
  </si>
  <si>
    <t>DLINK</t>
  </si>
  <si>
    <t>DLINK Total</t>
  </si>
  <si>
    <t>HP</t>
  </si>
  <si>
    <t>HP Total</t>
  </si>
  <si>
    <t>INTEL</t>
  </si>
  <si>
    <t>INTEL Total</t>
  </si>
  <si>
    <t>KINGSTON</t>
  </si>
  <si>
    <t>KINGSTON Total</t>
  </si>
  <si>
    <t>LEXMARK</t>
  </si>
  <si>
    <t>LEXMARK Total</t>
  </si>
  <si>
    <t>LG</t>
  </si>
  <si>
    <t>LG Total</t>
  </si>
  <si>
    <t>MICROSOFT</t>
  </si>
  <si>
    <t>MICROSOFT Total</t>
  </si>
  <si>
    <t>MULTILASER</t>
  </si>
  <si>
    <t>MULTILASER Total</t>
  </si>
  <si>
    <t>NOKIA</t>
  </si>
  <si>
    <t>NOKIA Total</t>
  </si>
  <si>
    <t>PHILIPS</t>
  </si>
  <si>
    <t>PHILIPS Total</t>
  </si>
  <si>
    <t>SAMSUNG</t>
  </si>
  <si>
    <t>SAMSUNG Total</t>
  </si>
  <si>
    <t>SONY</t>
  </si>
  <si>
    <t>SONY Total</t>
  </si>
  <si>
    <t>Total Geral</t>
  </si>
  <si>
    <t xml:space="preserve">Consolidar a média de faturamento mensal de cada empresa </t>
  </si>
  <si>
    <t>fornecedora de produtos.</t>
  </si>
  <si>
    <t>Demonstrativo Mensal de Receitas  -  Novembro 2012</t>
  </si>
  <si>
    <t>Consolidação de Valores</t>
  </si>
  <si>
    <t>Média Faturamento</t>
  </si>
  <si>
    <t>Depto</t>
  </si>
  <si>
    <t>(Tudo)</t>
  </si>
  <si>
    <t>Produtos</t>
  </si>
  <si>
    <t>Soma de Janeiro</t>
  </si>
  <si>
    <t>Soma de Fevereiro</t>
  </si>
  <si>
    <t>Soma de Março</t>
  </si>
  <si>
    <t>Adaptador Porta USB</t>
  </si>
  <si>
    <t>Impressora Multi HP</t>
  </si>
  <si>
    <t>Kit Multimidia (Cx.Som 5.1)</t>
  </si>
  <si>
    <t>Monitor LCD 19'' AOC</t>
  </si>
  <si>
    <t>Mouse Óptico sem fio Microsoft</t>
  </si>
  <si>
    <t>Notebook Dell</t>
  </si>
  <si>
    <t>Notebook Sony Vaio</t>
  </si>
  <si>
    <t>Pen Drive 4GB</t>
  </si>
  <si>
    <t>Placa de Captura TV Pinnacle</t>
  </si>
  <si>
    <t>Roteador Wireless</t>
  </si>
  <si>
    <t>Smartphone Nokia N8</t>
  </si>
  <si>
    <t>Teclado sem fio Microsoft</t>
  </si>
  <si>
    <t>Telefone sem fio Motorola</t>
  </si>
  <si>
    <t xml:space="preserve">TIMChip Infinity Pré - 128KB </t>
  </si>
  <si>
    <t>Elaborar um gráfico tipo (linha) em uma "nova planilha",</t>
  </si>
  <si>
    <t>traçando um comparativo de vendas mensais em relação</t>
  </si>
  <si>
    <t>a meta da referida empresa.</t>
  </si>
  <si>
    <t>RECEITAS DE VENDAS ANUAIS 2009</t>
  </si>
  <si>
    <t>RECEITAS DE VENDAS ANUAIS 2010</t>
  </si>
  <si>
    <t>META ESTIPULADA</t>
  </si>
  <si>
    <t>Meses</t>
  </si>
  <si>
    <t>Faturamento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</si>
  <si>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</si>
  <si>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</si>
  <si>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</si>
  <si>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</si>
  <si>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</si>
  <si>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</si>
  <si>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</si>
  <si>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</si>
  <si>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</si>
  <si>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</si>
  <si>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</si>
  <si>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</si>
  <si>
    <t>ID PRODUTO</t>
  </si>
  <si>
    <t>ID CLIENTE</t>
  </si>
  <si>
    <t>CPF</t>
  </si>
  <si>
    <t>NOME DO CLIENTE</t>
  </si>
  <si>
    <t>RG</t>
  </si>
  <si>
    <t>PRODUTO COMPRADO</t>
  </si>
  <si>
    <t>CATEGORIA</t>
  </si>
  <si>
    <t>QTDE DO PRODUTO</t>
  </si>
  <si>
    <t>VALOR UNITÁRIO</t>
  </si>
  <si>
    <t>VALOR TOTAL</t>
  </si>
  <si>
    <t>DATA DA COMPRA</t>
  </si>
  <si>
    <t>HORA DA COMPRA</t>
  </si>
  <si>
    <t>Informática</t>
  </si>
  <si>
    <t>111.111.111-11</t>
  </si>
  <si>
    <t>MOQUIDÉSIA DA SILVA</t>
  </si>
  <si>
    <t>23.456.789-0</t>
  </si>
  <si>
    <t>HOME THEATER - PHILIPS</t>
  </si>
  <si>
    <t>ELETRÔNICOS</t>
  </si>
  <si>
    <t>2</t>
  </si>
  <si>
    <t>R$ 587,00</t>
  </si>
  <si>
    <t>222.222.222-22</t>
  </si>
  <si>
    <t>LINDOLFO DE AGUIAR</t>
  </si>
  <si>
    <t>12.456.789-0</t>
  </si>
  <si>
    <t>NOTEBOOK DELL</t>
  </si>
  <si>
    <t>INFORMÁTICA</t>
  </si>
  <si>
    <t>3</t>
  </si>
  <si>
    <t>R$ 1890,00</t>
  </si>
  <si>
    <t>333.333.333-33</t>
  </si>
  <si>
    <t>MARIA JOANA</t>
  </si>
  <si>
    <t>32.333.888-9</t>
  </si>
  <si>
    <t xml:space="preserve">TIMCHIP INFINITY PRÉ - 128KB </t>
  </si>
  <si>
    <t>10</t>
  </si>
  <si>
    <t>R$ 12,00</t>
  </si>
  <si>
    <t>444.444-444-44</t>
  </si>
  <si>
    <t>ANA JÚLIA DOS SANTOS</t>
  </si>
  <si>
    <t>11.234.565-7</t>
  </si>
  <si>
    <t>TECLADO SEM FIO MICROSOFT</t>
  </si>
  <si>
    <t>1</t>
  </si>
  <si>
    <t>R$ 145,00</t>
  </si>
  <si>
    <t>Telefonia</t>
  </si>
  <si>
    <t>Eletrônicos</t>
  </si>
  <si>
    <t>TV Led 40'' Samsung</t>
  </si>
  <si>
    <t>Blu-Ray e DVD Player  - Sony</t>
  </si>
  <si>
    <t>Home Theater - Philips</t>
  </si>
  <si>
    <t>Nextel i897 Ferrari</t>
  </si>
  <si>
    <t>Antena de TV DHTV - Benq</t>
  </si>
  <si>
    <t>Leitor de Código de Barras</t>
  </si>
  <si>
    <t>Vivo Chip Avulso DDD 11</t>
  </si>
  <si>
    <t>Chip Claro 128K Pré-Pago - DDD11</t>
  </si>
  <si>
    <t>TV 40" LED 3D Full HD - Samsung</t>
  </si>
  <si>
    <t>Nobreak Logitech 127w</t>
  </si>
  <si>
    <t>Motorola EX115 Preto - GSM</t>
  </si>
  <si>
    <t>DVD Player Automotivo - Buster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</si>
</sst>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R$&quot;\ * #,##0.00_-;\-&quot;R$&quot;\ * #,##0.00_-;_-&quot;R$&quot;\ * &quot;-&quot;??_-;_-@_-"/>
    <numFmt numFmtId="164" formatCode="&quot;R$&quot;#,##0.00_);\(&quot;R$&quot;#,##0.00\)"/>
    <numFmt numFmtId="165" formatCode="_(&quot;R$&quot;* #,##0.00_);_(&quot;R$&quot;* \(#,##0.00\);_(&quot;R$&quot;* &quot;-&quot;??_);_(@_)"/>
    <numFmt numFmtId="166" formatCode="_(* #,##0.00_);_(* \(#,##0.00\);_(* &quot;-&quot;??_);_(@_)"/>
    <numFmt numFmtId="167" formatCode="_(&quot;R$ &quot;* #,##0.00_);_(&quot;R$ &quot;* \(#,##0.00\);_(&quot;R$ &quot;* &quot;-&quot;??_);_(@_)"/>
    <numFmt numFmtId="168" formatCode="&quot;R$ &quot;#,##0.00"/>
    <numFmt numFmtId="169" formatCode="&quot;R$ &quot;#,##0.00_);\(&quot;R$ &quot;#,##0.00\)"/>
    <numFmt numFmtId="170" formatCode="&quot;R$&quot;\ #,##0.00"/>
    <numFmt numFmtId="171" formatCode="_-[$R$-416]\ * #,##0.00_-;\-[$R$-416]\ * #,##0.00_-;_-[$R$-416]\ * &quot;-&quot;??_-;_-@_-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indexed="18"/>
      <name val="Arial"/>
      <family val="2"/>
    </font>
    <font>
      <b/>
      <sz val="14"/>
      <color indexed="10"/>
      <name val="Arial"/>
      <family val="2"/>
    </font>
    <font>
      <b/>
      <sz val="11"/>
      <name val="Arial"/>
      <family val="2"/>
    </font>
    <font>
      <b/>
      <sz val="10"/>
      <name val="Arial"/>
      <family val="2"/>
    </font>
    <font>
      <i/>
      <sz val="11"/>
      <name val="Arial"/>
      <family val="2"/>
    </font>
    <font>
      <sz val="10"/>
      <name val="Arial"/>
      <family val="2"/>
    </font>
    <font>
      <b/>
      <sz val="14"/>
      <color theme="3" tint="-0.499984740745262"/>
      <name val="Arial"/>
      <family val="2"/>
    </font>
    <font>
      <b/>
      <sz val="12"/>
      <color theme="0"/>
      <name val="Arial"/>
      <family val="2"/>
    </font>
    <font>
      <b/>
      <sz val="9"/>
      <name val="Arial"/>
      <family val="2"/>
    </font>
    <font>
      <b/>
      <sz val="9"/>
      <name val="Arial Rounded MT Bold"/>
      <family val="2"/>
    </font>
    <font>
      <b/>
      <sz val="7.5"/>
      <color indexed="8"/>
      <name val="Arial"/>
      <family val="2"/>
    </font>
    <font>
      <b/>
      <sz val="10"/>
      <color indexed="9"/>
      <name val="Arial"/>
      <family val="2"/>
    </font>
    <font>
      <sz val="10"/>
      <color indexed="8"/>
      <name val="Arial"/>
      <family val="2"/>
    </font>
    <font>
      <b/>
      <sz val="10"/>
      <color indexed="8"/>
      <name val="Arial"/>
      <family val="2"/>
    </font>
    <font>
      <b/>
      <sz val="11"/>
      <color indexed="9"/>
      <name val="Arial"/>
      <family val="2"/>
    </font>
    <font>
      <sz val="9"/>
      <name val="Arial"/>
      <family val="2"/>
    </font>
    <font>
      <b/>
      <i/>
      <sz val="10"/>
      <color rgb="FFFF0000"/>
      <name val="Arial"/>
      <family val="2"/>
    </font>
    <font>
      <b/>
      <i/>
      <sz val="14"/>
      <name val="Arial"/>
      <family val="2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0"/>
      <color theme="2" tint="-0.89999084444715716"/>
      <name val="Arial"/>
      <family val="2"/>
    </font>
    <font>
      <b/>
      <sz val="11"/>
      <color theme="0"/>
      <name val="Arial"/>
      <family val="2"/>
    </font>
    <font>
      <b/>
      <i/>
      <sz val="10"/>
      <color theme="2" tint="-0.89996032593768116"/>
      <name val="Arial"/>
      <family val="2"/>
    </font>
    <font>
      <b/>
      <sz val="28"/>
      <color theme="0"/>
      <name val="Calibri"/>
      <family val="2"/>
      <scheme val="minor"/>
    </font>
    <font>
      <b/>
      <sz val="11"/>
      <color rgb="FF00B050"/>
      <name val="Calibri"/>
      <family val="2"/>
      <scheme val="minor"/>
    </font>
    <font>
      <b/>
      <sz val="11"/>
      <color indexed="16"/>
      <name val="Calibri"/>
      <family val="2"/>
      <scheme val="minor"/>
    </font>
    <font>
      <b/>
      <sz val="11"/>
      <color indexed="17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6" tint="-0.49998474074526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0"/>
        <bgColor indexed="64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166" fontId="1" fillId="0" borderId="0" applyFont="0" applyFill="0" applyBorder="0" applyAlignment="0" applyProtection="0"/>
    <xf numFmtId="165" fontId="1" fillId="0" borderId="0" applyFont="0" applyFill="0" applyBorder="0" applyAlignment="0" applyProtection="0"/>
    <xf numFmtId="0" fontId="14" fillId="0" borderId="0"/>
  </cellStyleXfs>
  <cellXfs count="193">
    <xf numFmtId="0" fontId="0" fillId="0" borderId="0" xfId="0"/>
    <xf numFmtId="0" fontId="2" fillId="0" borderId="0" xfId="0" applyFont="1" applyFill="1" applyBorder="1" applyAlignment="1">
      <alignment horizontal="center" vertical="center"/>
    </xf>
    <xf numFmtId="0" fontId="3" fillId="0" borderId="0" xfId="0" quotePrefix="1" applyFont="1" applyFill="1" applyBorder="1" applyAlignment="1">
      <alignment horizontal="center" vertical="center"/>
    </xf>
    <xf numFmtId="0" fontId="5" fillId="0" borderId="0" xfId="0" applyFont="1" applyBorder="1" applyAlignment="1">
      <alignment vertical="center"/>
    </xf>
    <xf numFmtId="0" fontId="0" fillId="0" borderId="0" xfId="0" applyBorder="1" applyAlignment="1">
      <alignment horizontal="center" vertical="center"/>
    </xf>
    <xf numFmtId="0" fontId="6" fillId="0" borderId="0" xfId="0" applyFont="1" applyBorder="1" applyAlignment="1">
      <alignment horizontal="center"/>
    </xf>
    <xf numFmtId="0" fontId="8" fillId="0" borderId="0" xfId="0" quotePrefix="1" applyFont="1" applyFill="1" applyBorder="1" applyAlignment="1">
      <alignment horizontal="center" vertical="center"/>
    </xf>
    <xf numFmtId="0" fontId="0" fillId="0" borderId="22" xfId="0" applyBorder="1"/>
    <xf numFmtId="0" fontId="0" fillId="0" borderId="40" xfId="0" applyBorder="1"/>
    <xf numFmtId="0" fontId="0" fillId="0" borderId="27" xfId="0" applyBorder="1"/>
    <xf numFmtId="0" fontId="0" fillId="0" borderId="19" xfId="0" applyBorder="1"/>
    <xf numFmtId="0" fontId="0" fillId="0" borderId="24" xfId="0" applyBorder="1" applyAlignment="1">
      <alignment horizontal="center"/>
    </xf>
    <xf numFmtId="0" fontId="0" fillId="0" borderId="39" xfId="0" applyBorder="1" applyAlignment="1">
      <alignment horizontal="center"/>
    </xf>
    <xf numFmtId="168" fontId="0" fillId="0" borderId="0" xfId="0" applyNumberFormat="1"/>
    <xf numFmtId="0" fontId="5" fillId="0" borderId="0" xfId="0" applyFont="1"/>
    <xf numFmtId="1" fontId="0" fillId="0" borderId="43" xfId="0" applyNumberFormat="1" applyBorder="1"/>
    <xf numFmtId="1" fontId="7" fillId="0" borderId="43" xfId="0" applyNumberFormat="1" applyFont="1" applyBorder="1" applyAlignment="1">
      <alignment horizontal="center"/>
    </xf>
    <xf numFmtId="1" fontId="7" fillId="0" borderId="44" xfId="0" applyNumberFormat="1" applyFont="1" applyBorder="1" applyAlignment="1">
      <alignment horizontal="center"/>
    </xf>
    <xf numFmtId="1" fontId="0" fillId="0" borderId="44" xfId="0" applyNumberFormat="1" applyFill="1" applyBorder="1"/>
    <xf numFmtId="1" fontId="7" fillId="0" borderId="44" xfId="0" applyNumberFormat="1" applyFont="1" applyFill="1" applyBorder="1" applyAlignment="1">
      <alignment horizontal="center"/>
    </xf>
    <xf numFmtId="1" fontId="0" fillId="0" borderId="44" xfId="0" applyNumberFormat="1" applyBorder="1"/>
    <xf numFmtId="0" fontId="7" fillId="0" borderId="44" xfId="0" applyNumberFormat="1" applyFont="1" applyBorder="1" applyAlignment="1">
      <alignment horizontal="center"/>
    </xf>
    <xf numFmtId="0" fontId="12" fillId="0" borderId="0" xfId="0" applyFont="1"/>
    <xf numFmtId="1" fontId="0" fillId="0" borderId="45" xfId="0" applyNumberFormat="1" applyBorder="1"/>
    <xf numFmtId="1" fontId="7" fillId="0" borderId="45" xfId="0" applyNumberFormat="1" applyFont="1" applyBorder="1" applyAlignment="1">
      <alignment horizontal="center"/>
    </xf>
    <xf numFmtId="165" fontId="0" fillId="0" borderId="43" xfId="2" applyFont="1" applyBorder="1" applyAlignment="1">
      <alignment horizontal="left"/>
    </xf>
    <xf numFmtId="165" fontId="0" fillId="0" borderId="44" xfId="2" applyFont="1" applyBorder="1" applyAlignment="1">
      <alignment horizontal="left"/>
    </xf>
    <xf numFmtId="165" fontId="0" fillId="0" borderId="44" xfId="2" applyFont="1" applyFill="1" applyBorder="1" applyAlignment="1">
      <alignment horizontal="left"/>
    </xf>
    <xf numFmtId="165" fontId="0" fillId="0" borderId="45" xfId="2" applyFont="1" applyBorder="1" applyAlignment="1">
      <alignment horizontal="left"/>
    </xf>
    <xf numFmtId="165" fontId="0" fillId="0" borderId="8" xfId="2" applyNumberFormat="1" applyFont="1" applyBorder="1" applyAlignment="1">
      <alignment horizontal="left"/>
    </xf>
    <xf numFmtId="165" fontId="0" fillId="0" borderId="34" xfId="2" applyNumberFormat="1" applyFont="1" applyBorder="1" applyAlignment="1">
      <alignment horizontal="left"/>
    </xf>
    <xf numFmtId="165" fontId="0" fillId="0" borderId="34" xfId="2" applyNumberFormat="1" applyFont="1" applyFill="1" applyBorder="1" applyAlignment="1">
      <alignment horizontal="left"/>
    </xf>
    <xf numFmtId="165" fontId="0" fillId="0" borderId="34" xfId="0" applyNumberFormat="1" applyBorder="1"/>
    <xf numFmtId="165" fontId="0" fillId="0" borderId="14" xfId="0" applyNumberFormat="1" applyBorder="1"/>
    <xf numFmtId="0" fontId="0" fillId="0" borderId="44" xfId="0" applyBorder="1"/>
    <xf numFmtId="0" fontId="0" fillId="0" borderId="45" xfId="0" applyBorder="1"/>
    <xf numFmtId="0" fontId="5" fillId="0" borderId="0" xfId="0" applyFont="1" applyAlignment="1">
      <alignment horizontal="left"/>
    </xf>
    <xf numFmtId="0" fontId="15" fillId="0" borderId="18" xfId="3" applyFont="1" applyFill="1" applyBorder="1" applyAlignment="1">
      <alignment horizontal="center" wrapText="1"/>
    </xf>
    <xf numFmtId="0" fontId="14" fillId="0" borderId="19" xfId="3" applyFont="1" applyFill="1" applyBorder="1" applyAlignment="1">
      <alignment wrapText="1"/>
    </xf>
    <xf numFmtId="0" fontId="15" fillId="0" borderId="9" xfId="3" applyFont="1" applyFill="1" applyBorder="1" applyAlignment="1">
      <alignment horizontal="center" wrapText="1"/>
    </xf>
    <xf numFmtId="165" fontId="14" fillId="0" borderId="19" xfId="2" applyFont="1" applyFill="1" applyBorder="1" applyAlignment="1">
      <alignment horizontal="center" wrapText="1"/>
    </xf>
    <xf numFmtId="165" fontId="0" fillId="0" borderId="19" xfId="2" applyFont="1" applyBorder="1"/>
    <xf numFmtId="165" fontId="0" fillId="0" borderId="12" xfId="2" applyFont="1" applyBorder="1"/>
    <xf numFmtId="0" fontId="13" fillId="0" borderId="0" xfId="0" applyFont="1" applyFill="1" applyBorder="1" applyAlignment="1">
      <alignment horizontal="center" vertical="center"/>
    </xf>
    <xf numFmtId="169" fontId="17" fillId="0" borderId="0" xfId="1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horizontal="center" vertical="center"/>
    </xf>
    <xf numFmtId="0" fontId="10" fillId="0" borderId="15" xfId="0" applyFont="1" applyFill="1" applyBorder="1" applyAlignment="1">
      <alignment horizontal="center" vertical="center"/>
    </xf>
    <xf numFmtId="169" fontId="17" fillId="0" borderId="17" xfId="1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167" fontId="17" fillId="0" borderId="43" xfId="2" applyNumberFormat="1" applyFont="1" applyFill="1" applyBorder="1" applyAlignment="1">
      <alignment horizontal="center" vertical="center"/>
    </xf>
    <xf numFmtId="169" fontId="17" fillId="0" borderId="24" xfId="1" applyNumberFormat="1" applyFont="1" applyFill="1" applyBorder="1" applyAlignment="1">
      <alignment horizontal="center" vertical="center"/>
    </xf>
    <xf numFmtId="0" fontId="10" fillId="0" borderId="48" xfId="0" applyFont="1" applyFill="1" applyBorder="1" applyAlignment="1">
      <alignment horizontal="center" vertical="center"/>
    </xf>
    <xf numFmtId="169" fontId="17" fillId="0" borderId="39" xfId="1" applyNumberFormat="1" applyFont="1" applyFill="1" applyBorder="1" applyAlignment="1">
      <alignment horizontal="center" vertical="center"/>
    </xf>
    <xf numFmtId="167" fontId="17" fillId="0" borderId="28" xfId="2" applyNumberFormat="1" applyFont="1" applyFill="1" applyBorder="1" applyAlignment="1">
      <alignment horizontal="center" vertical="center"/>
    </xf>
    <xf numFmtId="0" fontId="10" fillId="0" borderId="0" xfId="0" applyFont="1" applyFill="1" applyBorder="1" applyAlignment="1">
      <alignment vertical="center"/>
    </xf>
    <xf numFmtId="0" fontId="20" fillId="0" borderId="32" xfId="0" applyFont="1" applyBorder="1" applyAlignment="1">
      <alignment horizontal="left"/>
    </xf>
    <xf numFmtId="0" fontId="20" fillId="0" borderId="29" xfId="0" applyFont="1" applyBorder="1" applyAlignment="1">
      <alignment horizontal="left"/>
    </xf>
    <xf numFmtId="0" fontId="20" fillId="0" borderId="33" xfId="0" applyFont="1" applyBorder="1" applyAlignment="1">
      <alignment horizontal="left"/>
    </xf>
    <xf numFmtId="0" fontId="20" fillId="0" borderId="31" xfId="0" applyFont="1" applyBorder="1" applyAlignment="1">
      <alignment horizontal="left"/>
    </xf>
    <xf numFmtId="0" fontId="0" fillId="0" borderId="0" xfId="0" applyFill="1" applyBorder="1"/>
    <xf numFmtId="165" fontId="18" fillId="0" borderId="19" xfId="2" applyFont="1" applyBorder="1" applyAlignment="1">
      <alignment horizontal="center"/>
    </xf>
    <xf numFmtId="0" fontId="0" fillId="3" borderId="0" xfId="0" applyFill="1"/>
    <xf numFmtId="0" fontId="13" fillId="4" borderId="3" xfId="0" applyFont="1" applyFill="1" applyBorder="1" applyAlignment="1">
      <alignment horizontal="center" vertical="center"/>
    </xf>
    <xf numFmtId="0" fontId="0" fillId="0" borderId="0" xfId="0" applyFill="1"/>
    <xf numFmtId="0" fontId="16" fillId="4" borderId="5" xfId="0" applyFont="1" applyFill="1" applyBorder="1" applyAlignment="1">
      <alignment horizontal="center" vertical="center" wrapText="1"/>
    </xf>
    <xf numFmtId="0" fontId="16" fillId="4" borderId="41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/>
    </xf>
    <xf numFmtId="1" fontId="5" fillId="5" borderId="3" xfId="0" applyNumberFormat="1" applyFont="1" applyFill="1" applyBorder="1" applyAlignment="1">
      <alignment horizontal="center"/>
    </xf>
    <xf numFmtId="168" fontId="5" fillId="5" borderId="3" xfId="0" applyNumberFormat="1" applyFont="1" applyFill="1" applyBorder="1" applyAlignment="1">
      <alignment horizontal="center"/>
    </xf>
    <xf numFmtId="168" fontId="5" fillId="5" borderId="46" xfId="0" applyNumberFormat="1" applyFont="1" applyFill="1" applyBorder="1" applyAlignment="1">
      <alignment horizontal="center"/>
    </xf>
    <xf numFmtId="1" fontId="0" fillId="0" borderId="0" xfId="0" applyNumberFormat="1"/>
    <xf numFmtId="0" fontId="22" fillId="0" borderId="0" xfId="0" applyFont="1"/>
    <xf numFmtId="0" fontId="4" fillId="5" borderId="5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4" fillId="5" borderId="32" xfId="0" applyFont="1" applyFill="1" applyBorder="1" applyAlignment="1"/>
    <xf numFmtId="0" fontId="4" fillId="5" borderId="8" xfId="0" applyFont="1" applyFill="1" applyBorder="1" applyAlignment="1"/>
    <xf numFmtId="0" fontId="4" fillId="5" borderId="33" xfId="0" applyFont="1" applyFill="1" applyBorder="1" applyAlignment="1"/>
    <xf numFmtId="0" fontId="4" fillId="5" borderId="34" xfId="0" applyFont="1" applyFill="1" applyBorder="1" applyAlignment="1"/>
    <xf numFmtId="0" fontId="4" fillId="5" borderId="35" xfId="0" applyFont="1" applyFill="1" applyBorder="1" applyAlignment="1"/>
    <xf numFmtId="0" fontId="4" fillId="5" borderId="14" xfId="0" applyFont="1" applyFill="1" applyBorder="1" applyAlignment="1"/>
    <xf numFmtId="0" fontId="23" fillId="0" borderId="19" xfId="0" applyFont="1" applyBorder="1" applyAlignment="1">
      <alignment horizontal="center"/>
    </xf>
    <xf numFmtId="1" fontId="23" fillId="0" borderId="19" xfId="0" applyNumberFormat="1" applyFont="1" applyBorder="1" applyAlignment="1">
      <alignment horizontal="center"/>
    </xf>
    <xf numFmtId="164" fontId="23" fillId="0" borderId="19" xfId="2" applyNumberFormat="1" applyFont="1" applyBorder="1" applyAlignment="1">
      <alignment horizontal="center"/>
    </xf>
    <xf numFmtId="0" fontId="19" fillId="7" borderId="3" xfId="0" applyFont="1" applyFill="1" applyBorder="1" applyAlignment="1">
      <alignment horizontal="center" vertical="center"/>
    </xf>
    <xf numFmtId="0" fontId="24" fillId="4" borderId="1" xfId="0" applyFont="1" applyFill="1" applyBorder="1" applyAlignment="1">
      <alignment vertical="center"/>
    </xf>
    <xf numFmtId="0" fontId="5" fillId="5" borderId="5" xfId="0" applyFont="1" applyFill="1" applyBorder="1" applyAlignment="1">
      <alignment horizontal="center" vertical="center"/>
    </xf>
    <xf numFmtId="0" fontId="5" fillId="5" borderId="38" xfId="0" applyFont="1" applyFill="1" applyBorder="1" applyAlignment="1">
      <alignment horizontal="center" vertical="center"/>
    </xf>
    <xf numFmtId="0" fontId="5" fillId="5" borderId="47" xfId="0" applyFont="1" applyFill="1" applyBorder="1" applyAlignment="1">
      <alignment horizontal="center" vertical="center"/>
    </xf>
    <xf numFmtId="0" fontId="16" fillId="4" borderId="38" xfId="0" applyFont="1" applyFill="1" applyBorder="1" applyAlignment="1">
      <alignment horizontal="center" vertical="center" wrapText="1"/>
    </xf>
    <xf numFmtId="164" fontId="0" fillId="0" borderId="24" xfId="0" applyNumberFormat="1" applyBorder="1" applyAlignment="1">
      <alignment horizontal="center"/>
    </xf>
    <xf numFmtId="14" fontId="0" fillId="0" borderId="24" xfId="0" applyNumberFormat="1" applyBorder="1" applyAlignment="1">
      <alignment horizontal="center"/>
    </xf>
    <xf numFmtId="19" fontId="0" fillId="0" borderId="24" xfId="0" applyNumberFormat="1" applyBorder="1" applyAlignment="1">
      <alignment horizontal="center"/>
    </xf>
    <xf numFmtId="171" fontId="0" fillId="0" borderId="24" xfId="2" applyNumberFormat="1" applyFont="1" applyBorder="1" applyAlignment="1">
      <alignment horizontal="center"/>
    </xf>
    <xf numFmtId="171" fontId="0" fillId="0" borderId="39" xfId="2" applyNumberFormat="1" applyFont="1" applyBorder="1" applyAlignment="1">
      <alignment horizontal="center"/>
    </xf>
    <xf numFmtId="165" fontId="0" fillId="0" borderId="0" xfId="0" applyNumberFormat="1"/>
    <xf numFmtId="44" fontId="0" fillId="0" borderId="0" xfId="0" applyNumberFormat="1"/>
    <xf numFmtId="1" fontId="0" fillId="0" borderId="0" xfId="0" applyNumberFormat="1" applyBorder="1"/>
    <xf numFmtId="1" fontId="0" fillId="0" borderId="0" xfId="0" applyNumberFormat="1" applyFill="1" applyBorder="1"/>
    <xf numFmtId="168" fontId="0" fillId="0" borderId="0" xfId="0" applyNumberFormat="1" applyBorder="1"/>
    <xf numFmtId="1" fontId="20" fillId="0" borderId="43" xfId="0" applyNumberFormat="1" applyFont="1" applyBorder="1"/>
    <xf numFmtId="1" fontId="20" fillId="0" borderId="44" xfId="0" applyNumberFormat="1" applyFont="1" applyFill="1" applyBorder="1"/>
    <xf numFmtId="1" fontId="20" fillId="0" borderId="44" xfId="0" applyNumberFormat="1" applyFont="1" applyBorder="1"/>
    <xf numFmtId="165" fontId="0" fillId="0" borderId="0" xfId="2" applyFont="1" applyBorder="1" applyAlignment="1">
      <alignment horizontal="left"/>
    </xf>
    <xf numFmtId="1" fontId="7" fillId="0" borderId="0" xfId="0" applyNumberFormat="1" applyFont="1" applyBorder="1" applyAlignment="1">
      <alignment horizontal="center"/>
    </xf>
    <xf numFmtId="1" fontId="20" fillId="0" borderId="0" xfId="0" applyNumberFormat="1" applyFont="1" applyBorder="1"/>
    <xf numFmtId="0" fontId="0" fillId="0" borderId="0" xfId="0" pivotButton="1"/>
    <xf numFmtId="0" fontId="0" fillId="0" borderId="0" xfId="0" applyNumberFormat="1"/>
    <xf numFmtId="0" fontId="0" fillId="0" borderId="0" xfId="0" applyAlignment="1">
      <alignment horizontal="center"/>
    </xf>
    <xf numFmtId="0" fontId="14" fillId="0" borderId="19" xfId="3" applyFont="1" applyFill="1" applyBorder="1" applyAlignment="1">
      <alignment horizontal="center" wrapText="1"/>
    </xf>
    <xf numFmtId="0" fontId="0" fillId="0" borderId="19" xfId="0" applyBorder="1" applyAlignment="1">
      <alignment horizontal="center"/>
    </xf>
    <xf numFmtId="0" fontId="21" fillId="4" borderId="19" xfId="0" applyFont="1" applyFill="1" applyBorder="1" applyAlignment="1">
      <alignment horizontal="center"/>
    </xf>
    <xf numFmtId="0" fontId="20" fillId="0" borderId="19" xfId="0" applyFont="1" applyBorder="1" applyAlignment="1">
      <alignment horizontal="center"/>
    </xf>
    <xf numFmtId="0" fontId="20" fillId="0" borderId="19" xfId="0" applyFont="1" applyBorder="1"/>
    <xf numFmtId="0" fontId="27" fillId="0" borderId="19" xfId="0" applyFont="1" applyBorder="1" applyAlignment="1">
      <alignment horizontal="center"/>
    </xf>
    <xf numFmtId="0" fontId="28" fillId="0" borderId="19" xfId="0" applyFont="1" applyBorder="1" applyAlignment="1">
      <alignment horizontal="center"/>
    </xf>
    <xf numFmtId="0" fontId="29" fillId="0" borderId="19" xfId="0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0" fontId="0" fillId="0" borderId="0" xfId="0" applyFill="1" applyBorder="1" applyAlignment="1">
      <alignment horizontal="center" vertical="center"/>
    </xf>
    <xf numFmtId="0" fontId="28" fillId="0" borderId="19" xfId="0" applyNumberFormat="1" applyFont="1" applyBorder="1" applyAlignment="1">
      <alignment horizontal="center"/>
    </xf>
    <xf numFmtId="0" fontId="26" fillId="4" borderId="0" xfId="0" applyFont="1" applyFill="1" applyAlignment="1">
      <alignment horizontal="center" vertical="center" wrapText="1"/>
    </xf>
    <xf numFmtId="165" fontId="23" fillId="0" borderId="19" xfId="2" applyFont="1" applyBorder="1" applyAlignment="1">
      <alignment horizontal="center"/>
    </xf>
    <xf numFmtId="0" fontId="25" fillId="0" borderId="19" xfId="0" applyFont="1" applyBorder="1" applyAlignment="1">
      <alignment horizontal="left"/>
    </xf>
    <xf numFmtId="0" fontId="0" fillId="0" borderId="0" xfId="0" applyFill="1" applyBorder="1" applyAlignment="1">
      <alignment horizontal="center" vertical="center"/>
    </xf>
    <xf numFmtId="0" fontId="9" fillId="4" borderId="1" xfId="0" applyFont="1" applyFill="1" applyBorder="1" applyAlignment="1">
      <alignment horizontal="center" vertical="center"/>
    </xf>
    <xf numFmtId="0" fontId="9" fillId="4" borderId="4" xfId="0" applyFont="1" applyFill="1" applyBorder="1" applyAlignment="1">
      <alignment horizontal="center" vertical="center"/>
    </xf>
    <xf numFmtId="0" fontId="9" fillId="4" borderId="2" xfId="0" applyFont="1" applyFill="1" applyBorder="1" applyAlignment="1">
      <alignment horizontal="center" vertical="center"/>
    </xf>
    <xf numFmtId="0" fontId="18" fillId="0" borderId="6" xfId="0" applyFont="1" applyBorder="1" applyAlignment="1">
      <alignment horizontal="center" vertical="center"/>
    </xf>
    <xf numFmtId="0" fontId="18" fillId="0" borderId="7" xfId="0" applyFont="1" applyBorder="1" applyAlignment="1">
      <alignment horizontal="center" vertical="center"/>
    </xf>
    <xf numFmtId="0" fontId="18" fillId="0" borderId="8" xfId="0" applyFont="1" applyBorder="1" applyAlignment="1">
      <alignment horizontal="center" vertical="center"/>
    </xf>
    <xf numFmtId="0" fontId="18" fillId="0" borderId="10" xfId="0" applyFont="1" applyBorder="1" applyAlignment="1">
      <alignment horizontal="center" vertical="center"/>
    </xf>
    <xf numFmtId="0" fontId="18" fillId="0" borderId="11" xfId="0" applyFont="1" applyBorder="1" applyAlignment="1">
      <alignment horizontal="center" vertical="center"/>
    </xf>
    <xf numFmtId="0" fontId="18" fillId="0" borderId="13" xfId="0" applyFont="1" applyBorder="1" applyAlignment="1">
      <alignment horizontal="center" vertical="center"/>
    </xf>
    <xf numFmtId="0" fontId="18" fillId="0" borderId="14" xfId="0" applyFont="1" applyBorder="1" applyAlignment="1">
      <alignment horizontal="center" vertical="center"/>
    </xf>
    <xf numFmtId="0" fontId="4" fillId="5" borderId="10" xfId="0" applyFont="1" applyFill="1" applyBorder="1" applyAlignment="1">
      <alignment horizontal="center" vertical="center"/>
    </xf>
    <xf numFmtId="0" fontId="4" fillId="5" borderId="11" xfId="0" applyFont="1" applyFill="1" applyBorder="1" applyAlignment="1">
      <alignment horizontal="center" vertical="center"/>
    </xf>
    <xf numFmtId="165" fontId="23" fillId="0" borderId="18" xfId="2" applyFont="1" applyBorder="1" applyAlignment="1">
      <alignment horizontal="center"/>
    </xf>
    <xf numFmtId="165" fontId="23" fillId="0" borderId="24" xfId="2" applyFont="1" applyBorder="1" applyAlignment="1">
      <alignment horizontal="center"/>
    </xf>
    <xf numFmtId="0" fontId="20" fillId="0" borderId="30" xfId="0" applyFont="1" applyBorder="1" applyAlignment="1">
      <alignment horizontal="center"/>
    </xf>
    <xf numFmtId="0" fontId="20" fillId="0" borderId="34" xfId="0" applyFont="1" applyBorder="1" applyAlignment="1">
      <alignment horizontal="center"/>
    </xf>
    <xf numFmtId="165" fontId="23" fillId="0" borderId="9" xfId="2" applyFont="1" applyBorder="1" applyAlignment="1">
      <alignment horizontal="center"/>
    </xf>
    <xf numFmtId="165" fontId="23" fillId="0" borderId="12" xfId="2" applyFont="1" applyBorder="1" applyAlignment="1">
      <alignment horizontal="center"/>
    </xf>
    <xf numFmtId="165" fontId="23" fillId="0" borderId="39" xfId="2" applyFont="1" applyBorder="1" applyAlignment="1">
      <alignment horizontal="center"/>
    </xf>
    <xf numFmtId="0" fontId="0" fillId="2" borderId="20" xfId="0" applyFill="1" applyBorder="1" applyAlignment="1">
      <alignment horizontal="center"/>
    </xf>
    <xf numFmtId="0" fontId="0" fillId="2" borderId="21" xfId="0" applyFill="1" applyBorder="1" applyAlignment="1">
      <alignment horizontal="center"/>
    </xf>
    <xf numFmtId="0" fontId="0" fillId="2" borderId="23" xfId="0" applyFill="1" applyBorder="1" applyAlignment="1">
      <alignment horizontal="center"/>
    </xf>
    <xf numFmtId="0" fontId="0" fillId="2" borderId="0" xfId="0" applyFill="1" applyBorder="1" applyAlignment="1">
      <alignment horizontal="center"/>
    </xf>
    <xf numFmtId="0" fontId="0" fillId="2" borderId="25" xfId="0" applyFill="1" applyBorder="1" applyAlignment="1">
      <alignment horizontal="center"/>
    </xf>
    <xf numFmtId="0" fontId="0" fillId="2" borderId="26" xfId="0" applyFill="1" applyBorder="1" applyAlignment="1">
      <alignment horizontal="center"/>
    </xf>
    <xf numFmtId="165" fontId="23" fillId="0" borderId="5" xfId="2" applyFont="1" applyBorder="1" applyAlignment="1">
      <alignment horizontal="center"/>
    </xf>
    <xf numFmtId="165" fontId="23" fillId="0" borderId="41" xfId="2" applyFont="1" applyBorder="1" applyAlignment="1">
      <alignment horizontal="center"/>
    </xf>
    <xf numFmtId="165" fontId="23" fillId="0" borderId="38" xfId="2" applyFont="1" applyBorder="1" applyAlignment="1">
      <alignment horizontal="center"/>
    </xf>
    <xf numFmtId="0" fontId="20" fillId="0" borderId="35" xfId="0" applyFont="1" applyBorder="1" applyAlignment="1">
      <alignment horizontal="left"/>
    </xf>
    <xf numFmtId="0" fontId="20" fillId="0" borderId="11" xfId="0" applyFont="1" applyBorder="1" applyAlignment="1">
      <alignment horizontal="left"/>
    </xf>
    <xf numFmtId="0" fontId="21" fillId="4" borderId="1" xfId="0" applyFont="1" applyFill="1" applyBorder="1" applyAlignment="1">
      <alignment horizontal="center"/>
    </xf>
    <xf numFmtId="0" fontId="21" fillId="4" borderId="4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0" fontId="20" fillId="0" borderId="10" xfId="0" applyFont="1" applyBorder="1" applyAlignment="1">
      <alignment horizontal="center"/>
    </xf>
    <xf numFmtId="0" fontId="20" fillId="0" borderId="14" xfId="0" applyFont="1" applyBorder="1" applyAlignment="1">
      <alignment horizontal="center"/>
    </xf>
    <xf numFmtId="0" fontId="20" fillId="0" borderId="6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0" fontId="5" fillId="0" borderId="33" xfId="0" applyFont="1" applyBorder="1" applyAlignment="1"/>
    <xf numFmtId="0" fontId="0" fillId="0" borderId="49" xfId="0" applyBorder="1" applyAlignment="1"/>
    <xf numFmtId="0" fontId="0" fillId="0" borderId="34" xfId="0" applyBorder="1" applyAlignment="1"/>
    <xf numFmtId="0" fontId="9" fillId="4" borderId="19" xfId="0" applyFont="1" applyFill="1" applyBorder="1" applyAlignment="1">
      <alignment horizontal="center" vertical="center"/>
    </xf>
    <xf numFmtId="0" fontId="5" fillId="5" borderId="15" xfId="0" applyFont="1" applyFill="1" applyBorder="1" applyAlignment="1">
      <alignment horizontal="left"/>
    </xf>
    <xf numFmtId="0" fontId="5" fillId="5" borderId="16" xfId="0" applyFont="1" applyFill="1" applyBorder="1" applyAlignment="1">
      <alignment horizontal="left"/>
    </xf>
    <xf numFmtId="0" fontId="5" fillId="5" borderId="42" xfId="0" applyFont="1" applyFill="1" applyBorder="1" applyAlignment="1">
      <alignment horizontal="left"/>
    </xf>
    <xf numFmtId="0" fontId="5" fillId="5" borderId="18" xfId="0" applyFont="1" applyFill="1" applyBorder="1" applyAlignment="1">
      <alignment horizontal="left"/>
    </xf>
    <xf numFmtId="0" fontId="5" fillId="5" borderId="19" xfId="0" applyFont="1" applyFill="1" applyBorder="1" applyAlignment="1">
      <alignment horizontal="left"/>
    </xf>
    <xf numFmtId="0" fontId="5" fillId="5" borderId="30" xfId="0" applyFont="1" applyFill="1" applyBorder="1" applyAlignment="1">
      <alignment horizontal="left"/>
    </xf>
    <xf numFmtId="165" fontId="23" fillId="0" borderId="36" xfId="2" applyFont="1" applyBorder="1" applyAlignment="1">
      <alignment horizontal="center"/>
    </xf>
    <xf numFmtId="165" fontId="23" fillId="0" borderId="37" xfId="2" applyFont="1" applyBorder="1" applyAlignment="1">
      <alignment horizontal="center"/>
    </xf>
    <xf numFmtId="165" fontId="23" fillId="0" borderId="33" xfId="2" applyFont="1" applyBorder="1" applyAlignment="1">
      <alignment horizontal="center"/>
    </xf>
    <xf numFmtId="165" fontId="23" fillId="0" borderId="34" xfId="2" applyFont="1" applyBorder="1" applyAlignment="1">
      <alignment horizontal="center"/>
    </xf>
    <xf numFmtId="0" fontId="11" fillId="6" borderId="19" xfId="0" applyFont="1" applyFill="1" applyBorder="1" applyAlignment="1">
      <alignment horizontal="center"/>
    </xf>
    <xf numFmtId="0" fontId="23" fillId="0" borderId="35" xfId="0" applyFont="1" applyBorder="1" applyAlignment="1">
      <alignment horizontal="center"/>
    </xf>
    <xf numFmtId="0" fontId="23" fillId="0" borderId="14" xfId="0" applyFont="1" applyBorder="1" applyAlignment="1">
      <alignment horizontal="center"/>
    </xf>
    <xf numFmtId="0" fontId="9" fillId="4" borderId="20" xfId="0" applyFont="1" applyFill="1" applyBorder="1" applyAlignment="1">
      <alignment horizontal="center" vertical="center"/>
    </xf>
    <xf numFmtId="0" fontId="9" fillId="4" borderId="21" xfId="0" applyFont="1" applyFill="1" applyBorder="1" applyAlignment="1">
      <alignment horizontal="center" vertical="center"/>
    </xf>
    <xf numFmtId="0" fontId="9" fillId="4" borderId="22" xfId="0" applyFont="1" applyFill="1" applyBorder="1" applyAlignment="1">
      <alignment horizontal="center" vertical="center"/>
    </xf>
    <xf numFmtId="0" fontId="9" fillId="4" borderId="25" xfId="0" applyFont="1" applyFill="1" applyBorder="1" applyAlignment="1">
      <alignment horizontal="center" vertical="center"/>
    </xf>
    <xf numFmtId="0" fontId="9" fillId="4" borderId="26" xfId="0" applyFont="1" applyFill="1" applyBorder="1" applyAlignment="1">
      <alignment horizontal="center" vertical="center"/>
    </xf>
    <xf numFmtId="0" fontId="9" fillId="4" borderId="27" xfId="0" applyFont="1" applyFill="1" applyBorder="1" applyAlignment="1">
      <alignment horizontal="center" vertical="center"/>
    </xf>
    <xf numFmtId="0" fontId="23" fillId="0" borderId="33" xfId="0" applyFont="1" applyBorder="1" applyAlignment="1">
      <alignment horizontal="center"/>
    </xf>
    <xf numFmtId="0" fontId="23" fillId="0" borderId="34" xfId="0" applyFont="1" applyBorder="1" applyAlignment="1">
      <alignment horizontal="center"/>
    </xf>
    <xf numFmtId="0" fontId="5" fillId="5" borderId="9" xfId="0" applyFont="1" applyFill="1" applyBorder="1" applyAlignment="1">
      <alignment horizontal="left"/>
    </xf>
    <xf numFmtId="0" fontId="5" fillId="5" borderId="12" xfId="0" applyFont="1" applyFill="1" applyBorder="1" applyAlignment="1">
      <alignment horizontal="left"/>
    </xf>
    <xf numFmtId="0" fontId="5" fillId="5" borderId="10" xfId="0" applyFont="1" applyFill="1" applyBorder="1" applyAlignment="1">
      <alignment horizontal="left"/>
    </xf>
    <xf numFmtId="0" fontId="9" fillId="4" borderId="1" xfId="0" applyFont="1" applyFill="1" applyBorder="1" applyAlignment="1">
      <alignment horizontal="center"/>
    </xf>
    <xf numFmtId="0" fontId="9" fillId="4" borderId="4" xfId="0" applyFont="1" applyFill="1" applyBorder="1" applyAlignment="1">
      <alignment horizontal="center"/>
    </xf>
    <xf numFmtId="0" fontId="9" fillId="4" borderId="2" xfId="0" applyFont="1" applyFill="1" applyBorder="1" applyAlignment="1">
      <alignment horizontal="center"/>
    </xf>
    <xf numFmtId="0" fontId="13" fillId="4" borderId="1" xfId="0" applyFont="1" applyFill="1" applyBorder="1" applyAlignment="1">
      <alignment horizontal="center" vertical="center"/>
    </xf>
    <xf numFmtId="0" fontId="13" fillId="4" borderId="2" xfId="0" applyFont="1" applyFill="1" applyBorder="1" applyAlignment="1">
      <alignment horizontal="center" vertical="center"/>
    </xf>
  </cellXfs>
  <cellStyles count="4">
    <cellStyle name="Moeda" xfId="2" builtinId="4"/>
    <cellStyle name="Normal" xfId="0" builtinId="0"/>
    <cellStyle name="Normal_Dados Nota Fiscal" xfId="3" xr:uid="{00000000-0005-0000-0000-000002000000}"/>
    <cellStyle name="Vírgula" xfId="1" builtinId="3"/>
  </cellStyles>
  <dxfs count="0"/>
  <tableStyles count="0" defaultTableStyle="TableStyleMedium9" defaultPivotStyle="PivotStyleLight16"/>
  <colors>
    <mruColors>
      <color rgb="FF232C12"/>
      <color rgb="FFFF6600"/>
      <color rgb="FFFFD75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7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hartsheet" Target="chartsheets/sheet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pivotCacheDefinition" Target="pivotCache/pivotCacheDefinition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8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r>
              <a:rPr lang="pt-BR" sz="1800" b="1">
                <a:solidFill>
                  <a:schemeClr val="tx1"/>
                </a:solidFill>
              </a:rPr>
              <a:t>DEMONSTRATIVO</a:t>
            </a:r>
            <a:r>
              <a:rPr lang="pt-BR" sz="1800" b="1" baseline="0">
                <a:solidFill>
                  <a:schemeClr val="tx1"/>
                </a:solidFill>
              </a:rPr>
              <a:t> DE RENDIMENTOS ANUAIS 2009 / 2010</a:t>
            </a:r>
            <a:endParaRPr lang="pt-BR" sz="1800" b="1">
              <a:solidFill>
                <a:schemeClr val="tx1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tx1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2009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GRÁFICO'!$C$11:$C$22</c:f>
              <c:numCache>
                <c:formatCode>"R$ "#,##0.00_);\("R$ "#,##0.00\)</c:formatCode>
                <c:ptCount val="12"/>
                <c:pt idx="0">
                  <c:v>45678</c:v>
                </c:pt>
                <c:pt idx="1">
                  <c:v>66534</c:v>
                </c:pt>
                <c:pt idx="2">
                  <c:v>49876</c:v>
                </c:pt>
                <c:pt idx="3">
                  <c:v>25678</c:v>
                </c:pt>
                <c:pt idx="4">
                  <c:v>12253</c:v>
                </c:pt>
                <c:pt idx="5">
                  <c:v>19854</c:v>
                </c:pt>
                <c:pt idx="6">
                  <c:v>76543</c:v>
                </c:pt>
                <c:pt idx="7">
                  <c:v>45329</c:v>
                </c:pt>
                <c:pt idx="8">
                  <c:v>99876</c:v>
                </c:pt>
                <c:pt idx="9">
                  <c:v>66543</c:v>
                </c:pt>
                <c:pt idx="10">
                  <c:v>124345</c:v>
                </c:pt>
                <c:pt idx="11">
                  <c:v>189773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2D-4FBE-A214-89BF5972C9CB}"/>
            </c:ext>
          </c:extLst>
        </c:ser>
        <c:ser>
          <c:idx val="1"/>
          <c:order val="1"/>
          <c:tx>
            <c:v>2010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GRÁFICO'!$F$11:$F$22</c:f>
              <c:numCache>
                <c:formatCode>"R$ "#,##0.00_);\("R$ "#,##0.00\)</c:formatCode>
                <c:ptCount val="12"/>
                <c:pt idx="0">
                  <c:v>49876</c:v>
                </c:pt>
                <c:pt idx="1">
                  <c:v>59043</c:v>
                </c:pt>
                <c:pt idx="2">
                  <c:v>53456</c:v>
                </c:pt>
                <c:pt idx="3">
                  <c:v>34599</c:v>
                </c:pt>
                <c:pt idx="4">
                  <c:v>17234</c:v>
                </c:pt>
                <c:pt idx="5">
                  <c:v>28903</c:v>
                </c:pt>
                <c:pt idx="6">
                  <c:v>66321</c:v>
                </c:pt>
                <c:pt idx="7">
                  <c:v>43234</c:v>
                </c:pt>
                <c:pt idx="8">
                  <c:v>87654</c:v>
                </c:pt>
                <c:pt idx="9">
                  <c:v>74987</c:v>
                </c:pt>
                <c:pt idx="10">
                  <c:v>144567</c:v>
                </c:pt>
                <c:pt idx="11">
                  <c:v>175876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2D-4FBE-A214-89BF5972C9CB}"/>
            </c:ext>
          </c:extLst>
        </c:ser>
        <c:ser>
          <c:idx val="2"/>
          <c:order val="2"/>
          <c:tx>
            <c:v>META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cat>
            <c:strRef>
              <c:f>'DADOS GRÁFICO'!$B$11:$B$22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'DADOS GRÁFICO'!$H$11:$H$22</c:f>
              <c:numCache>
                <c:formatCode>_("R$ "* #,##0.00_);_("R$ "* \(#,##0.00\);_("R$ "* "-"??_);_(@_)</c:formatCode>
                <c:ptCount val="12"/>
                <c:pt idx="0">
                  <c:v>65000</c:v>
                </c:pt>
                <c:pt idx="1">
                  <c:v>45000</c:v>
                </c:pt>
                <c:pt idx="2">
                  <c:v>40000</c:v>
                </c:pt>
                <c:pt idx="3">
                  <c:v>40000</c:v>
                </c:pt>
                <c:pt idx="4">
                  <c:v>30000</c:v>
                </c:pt>
                <c:pt idx="5">
                  <c:v>25000</c:v>
                </c:pt>
                <c:pt idx="6">
                  <c:v>60000</c:v>
                </c:pt>
                <c:pt idx="7">
                  <c:v>35000</c:v>
                </c:pt>
                <c:pt idx="8">
                  <c:v>80000</c:v>
                </c:pt>
                <c:pt idx="9">
                  <c:v>80000</c:v>
                </c:pt>
                <c:pt idx="10">
                  <c:v>150000</c:v>
                </c:pt>
                <c:pt idx="11">
                  <c:v>180000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3E2D-4FBE-A214-89BF5972C9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hiLowLines>
          <c:spPr>
            <a:ln w="9525" cap="flat" cmpd="sng" algn="ctr">
              <a:solidFill>
                <a:schemeClr val="tx1">
                  <a:lumMod val="75000"/>
                  <a:lumOff val="25000"/>
                </a:schemeClr>
              </a:solidFill>
              <a:round/>
            </a:ln>
            <a:effectLst/>
          </c:spPr>
        </c:hiLowLines>
        <c:marker val="1"/>
        <c:smooth val="0"/>
        <c:axId val="467877496"/>
        <c:axId val="467879136"/>
      </c:lineChart>
      <c:catAx>
        <c:axId val="467877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/>
                  <a:t>INFOTECH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879136"/>
        <c:crosses val="autoZero"/>
        <c:auto val="1"/>
        <c:lblAlgn val="ctr"/>
        <c:lblOffset val="100"/>
        <c:noMultiLvlLbl val="0"/>
      </c:catAx>
      <c:valAx>
        <c:axId val="4678791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pt-BR" sz="1400" b="1"/>
                  <a:t>PROJEÇÃO DE VALORES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</c:title>
        <c:numFmt formatCode="&quot;R$ &quot;#,##0.00_);\(&quot;R$ &quot;#,##0.0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467877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Gráfico2"/>
  <sheetViews>
    <sheetView zoomScale="61" workbookViewId="0" zoomToFit="1"/>
  </sheetViews>
  <pageMargins left="0.511811024" right="0.511811024" top="0.78740157499999996" bottom="0.78740157499999996" header="0.31496062000000002" footer="0.31496062000000002"/>
  <drawing r:id="rId1"/>
</chartsheet>
</file>

<file path=xl/ctrlProps/ctrlProp1.xml><?xml version="1.0" encoding="utf-8"?>
<formControlPr xmlns="http://schemas.microsoft.com/office/spreadsheetml/2009/9/main" objectType="Drop" dropStyle="combo" dx="16" fmlaLink="$A$1" fmlaRange="$L$21:$M$24" noThreeD="1" sel="3" val="0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438150</xdr:colOff>
      <xdr:row>11</xdr:row>
      <xdr:rowOff>66675</xdr:rowOff>
    </xdr:from>
    <xdr:to>
      <xdr:col>12</xdr:col>
      <xdr:colOff>581025</xdr:colOff>
      <xdr:row>24</xdr:row>
      <xdr:rowOff>47625</xdr:rowOff>
    </xdr:to>
    <xdr:sp macro="" textlink="">
      <xdr:nvSpPr>
        <xdr:cNvPr id="6" name="Retângulo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4095750" y="2162175"/>
          <a:ext cx="3800475" cy="2457450"/>
        </a:xfrm>
        <a:prstGeom prst="rect">
          <a:avLst/>
        </a:prstGeom>
        <a:solidFill>
          <a:schemeClr val="accent3">
            <a:lumMod val="60000"/>
            <a:lumOff val="40000"/>
          </a:schemeClr>
        </a:solidFill>
        <a:ln>
          <a:solidFill>
            <a:schemeClr val="accent3">
              <a:lumMod val="50000"/>
            </a:schemeClr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BR" sz="1100">
            <a:ln>
              <a:solidFill>
                <a:schemeClr val="accent3">
                  <a:lumMod val="75000"/>
                </a:schemeClr>
              </a:solidFill>
            </a:ln>
          </a:endParaRPr>
        </a:p>
      </xdr:txBody>
    </xdr:sp>
    <xdr:clientData/>
  </xdr:twoCellAnchor>
  <xdr:oneCellAnchor>
    <xdr:from>
      <xdr:col>7</xdr:col>
      <xdr:colOff>133350</xdr:colOff>
      <xdr:row>10</xdr:row>
      <xdr:rowOff>142875</xdr:rowOff>
    </xdr:from>
    <xdr:ext cx="1569725" cy="309315"/>
    <xdr:sp macro="" textlink="">
      <xdr:nvSpPr>
        <xdr:cNvPr id="5" name="CaixaDeTexto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/>
      </xdr:nvSpPr>
      <xdr:spPr>
        <a:xfrm>
          <a:off x="4400550" y="2047875"/>
          <a:ext cx="1569725" cy="309315"/>
        </a:xfrm>
        <a:prstGeom prst="rect">
          <a:avLst/>
        </a:prstGeom>
        <a:solidFill>
          <a:srgbClr val="232C12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wrap="none" rtlCol="0" anchor="t">
          <a:spAutoFit/>
          <a:scene3d>
            <a:camera prst="orthographicFront"/>
            <a:lightRig rig="flat" dir="t">
              <a:rot lat="0" lon="0" rev="18900000"/>
            </a:lightRig>
          </a:scene3d>
          <a:sp3d extrusionH="31750" contourW="6350" prstMaterial="powder">
            <a:bevelT w="19050" h="19050" prst="angle"/>
            <a:contourClr>
              <a:schemeClr val="accent3">
                <a:tint val="100000"/>
                <a:shade val="100000"/>
                <a:satMod val="100000"/>
                <a:hueMod val="100000"/>
              </a:schemeClr>
            </a:contourClr>
          </a:sp3d>
        </a:bodyPr>
        <a:lstStyle/>
        <a:p>
          <a:r>
            <a:rPr lang="pt-BR" sz="1200" b="1" cap="none" spc="0">
              <a:ln/>
              <a:solidFill>
                <a:schemeClr val="accent3"/>
              </a:solidFill>
              <a:effectLst/>
              <a:latin typeface="Arial Black" pitchFamily="34" charset="0"/>
            </a:rPr>
            <a:t>ÁREA</a:t>
          </a:r>
          <a:r>
            <a:rPr lang="pt-BR" sz="1200" b="1" cap="none" spc="0" baseline="0">
              <a:ln/>
              <a:solidFill>
                <a:schemeClr val="accent3"/>
              </a:solidFill>
              <a:effectLst/>
              <a:latin typeface="Arial Black" pitchFamily="34" charset="0"/>
            </a:rPr>
            <a:t> RESTRITA</a:t>
          </a:r>
          <a:endParaRPr lang="pt-BR" sz="1200" b="1" cap="none" spc="0">
            <a:ln/>
            <a:solidFill>
              <a:schemeClr val="accent3"/>
            </a:solidFill>
            <a:effectLst/>
            <a:latin typeface="Arial Black" pitchFamily="34" charset="0"/>
          </a:endParaRPr>
        </a:p>
      </xdr:txBody>
    </xdr:sp>
    <xdr:clientData/>
  </xdr:oneCellAnchor>
  <xdr:twoCellAnchor editAs="oneCell">
    <xdr:from>
      <xdr:col>6</xdr:col>
      <xdr:colOff>466725</xdr:colOff>
      <xdr:row>2</xdr:row>
      <xdr:rowOff>171450</xdr:rowOff>
    </xdr:from>
    <xdr:to>
      <xdr:col>13</xdr:col>
      <xdr:colOff>9525</xdr:colOff>
      <xdr:row>9</xdr:row>
      <xdr:rowOff>57150</xdr:rowOff>
    </xdr:to>
    <xdr:pic>
      <xdr:nvPicPr>
        <xdr:cNvPr id="9" name="Picture 7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4124325" y="552450"/>
          <a:ext cx="38100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xdr:twoCellAnchor editAs="oneCell">
    <xdr:from>
      <xdr:col>7</xdr:col>
      <xdr:colOff>352425</xdr:colOff>
      <xdr:row>16</xdr:row>
      <xdr:rowOff>38100</xdr:rowOff>
    </xdr:from>
    <xdr:to>
      <xdr:col>11</xdr:col>
      <xdr:colOff>581397</xdr:colOff>
      <xdr:row>19</xdr:row>
      <xdr:rowOff>76285</xdr:rowOff>
    </xdr:to>
    <xdr:pic macro="[0]!chamar_pedidos">
      <xdr:nvPicPr>
        <xdr:cNvPr id="8" name="Imagem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19625" y="3086100"/>
          <a:ext cx="2667372" cy="609685"/>
        </a:xfrm>
        <a:prstGeom prst="rect">
          <a:avLst/>
        </a:prstGeom>
      </xdr:spPr>
    </xdr:pic>
    <xdr:clientData/>
  </xdr:twoCellAnchor>
  <xdr:twoCellAnchor editAs="oneCell">
    <xdr:from>
      <xdr:col>7</xdr:col>
      <xdr:colOff>359550</xdr:colOff>
      <xdr:row>12</xdr:row>
      <xdr:rowOff>150000</xdr:rowOff>
    </xdr:from>
    <xdr:to>
      <xdr:col>11</xdr:col>
      <xdr:colOff>559943</xdr:colOff>
      <xdr:row>16</xdr:row>
      <xdr:rowOff>45317</xdr:rowOff>
    </xdr:to>
    <xdr:pic macro="[0]!chamar_login">
      <xdr:nvPicPr>
        <xdr:cNvPr id="10" name="Imagem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26750" y="2436000"/>
          <a:ext cx="2638793" cy="657317"/>
        </a:xfrm>
        <a:prstGeom prst="rect">
          <a:avLst/>
        </a:prstGeom>
      </xdr:spPr>
    </xdr:pic>
    <xdr:clientData/>
  </xdr:twoCellAnchor>
  <xdr:twoCellAnchor editAs="oneCell">
    <xdr:from>
      <xdr:col>7</xdr:col>
      <xdr:colOff>385725</xdr:colOff>
      <xdr:row>19</xdr:row>
      <xdr:rowOff>99975</xdr:rowOff>
    </xdr:from>
    <xdr:to>
      <xdr:col>11</xdr:col>
      <xdr:colOff>586118</xdr:colOff>
      <xdr:row>22</xdr:row>
      <xdr:rowOff>176265</xdr:rowOff>
    </xdr:to>
    <xdr:pic macro="[0]!sair_planilha">
      <xdr:nvPicPr>
        <xdr:cNvPr id="11" name="Imagem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652925" y="3719475"/>
          <a:ext cx="2638793" cy="6477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209550</xdr:colOff>
      <xdr:row>0</xdr:row>
      <xdr:rowOff>57150</xdr:rowOff>
    </xdr:from>
    <xdr:to>
      <xdr:col>2</xdr:col>
      <xdr:colOff>2514600</xdr:colOff>
      <xdr:row>6</xdr:row>
      <xdr:rowOff>78486</xdr:rowOff>
    </xdr:to>
    <xdr:pic>
      <xdr:nvPicPr>
        <xdr:cNvPr id="2" name="Picture 7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9550" y="57150"/>
          <a:ext cx="3448050" cy="1164336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10583</xdr:colOff>
      <xdr:row>19</xdr:row>
      <xdr:rowOff>42333</xdr:rowOff>
    </xdr:from>
    <xdr:to>
      <xdr:col>4</xdr:col>
      <xdr:colOff>592667</xdr:colOff>
      <xdr:row>23</xdr:row>
      <xdr:rowOff>169334</xdr:rowOff>
    </xdr:to>
    <xdr:pic>
      <xdr:nvPicPr>
        <xdr:cNvPr id="4" name="Picture 7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01083" y="3725333"/>
          <a:ext cx="3481917" cy="931334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752475</xdr:colOff>
          <xdr:row>20</xdr:row>
          <xdr:rowOff>9525</xdr:rowOff>
        </xdr:from>
        <xdr:to>
          <xdr:col>10</xdr:col>
          <xdr:colOff>19050</xdr:colOff>
          <xdr:row>21</xdr:row>
          <xdr:rowOff>9525</xdr:rowOff>
        </xdr:to>
        <xdr:sp macro="" textlink="">
          <xdr:nvSpPr>
            <xdr:cNvPr id="2050" name="Drop Dow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2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219075</xdr:colOff>
      <xdr:row>0</xdr:row>
      <xdr:rowOff>47625</xdr:rowOff>
    </xdr:from>
    <xdr:to>
      <xdr:col>3</xdr:col>
      <xdr:colOff>638175</xdr:colOff>
      <xdr:row>6</xdr:row>
      <xdr:rowOff>104775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19075" y="47625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742950</xdr:colOff>
      <xdr:row>6</xdr:row>
      <xdr:rowOff>123825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absoluteAnchor>
    <xdr:pos x="0" y="0"/>
    <xdr:ext cx="9649918" cy="6011680"/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304800</xdr:colOff>
      <xdr:row>0</xdr:row>
      <xdr:rowOff>95250</xdr:rowOff>
    </xdr:from>
    <xdr:to>
      <xdr:col>5</xdr:col>
      <xdr:colOff>590550</xdr:colOff>
      <xdr:row>6</xdr:row>
      <xdr:rowOff>190500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304800" y="9525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228600</xdr:colOff>
      <xdr:row>0</xdr:row>
      <xdr:rowOff>0</xdr:rowOff>
    </xdr:from>
    <xdr:to>
      <xdr:col>3</xdr:col>
      <xdr:colOff>704850</xdr:colOff>
      <xdr:row>6</xdr:row>
      <xdr:rowOff>76200</xdr:rowOff>
    </xdr:to>
    <xdr:pic>
      <xdr:nvPicPr>
        <xdr:cNvPr id="3" name="Picture 7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28600" y="0"/>
          <a:ext cx="3695700" cy="12192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Humberto" refreshedDate="44406.430110879628" createdVersion="7" refreshedVersion="7" minRefreshableVersion="3" recordCount="14" xr:uid="{00000000-000A-0000-FFFF-FFFF00000000}">
  <cacheSource type="worksheet">
    <worksheetSource ref="B9:F23" sheet="TABELA DINÂMICA"/>
  </cacheSource>
  <cacheFields count="5">
    <cacheField name="Produtos" numFmtId="0">
      <sharedItems count="14">
        <s v="Mouse Óptico sem fio Microsoft"/>
        <s v="Impressora Multi HP"/>
        <s v="Notebook Dell"/>
        <s v="Monitor LCD 19'' AOC"/>
        <s v="Smartphone Nokia N8"/>
        <s v="Telefone sem fio Motorola"/>
        <s v="Pen Drive 4GB"/>
        <s v="Notebook Sony Vaio"/>
        <s v="Teclado sem fio Microsoft"/>
        <s v="Roteador Wireless"/>
        <s v="Placa de Captura TV Pinnacle"/>
        <s v="Adaptador Porta USB"/>
        <s v="Kit Multimidia (Cx.Som 5.1)"/>
        <s v="TIMChip Infinity Pré - 128KB "/>
      </sharedItems>
    </cacheField>
    <cacheField name="Depto" numFmtId="0">
      <sharedItems count="3">
        <s v="Informática"/>
        <s v="Telefonia"/>
        <s v="Eletrônicos"/>
      </sharedItems>
    </cacheField>
    <cacheField name="Janeiro" numFmtId="170">
      <sharedItems containsSemiMixedTypes="0" containsString="0" containsNumber="1" containsInteger="1" minValue="21" maxValue="9876"/>
    </cacheField>
    <cacheField name="Fevereiro" numFmtId="170">
      <sharedItems containsSemiMixedTypes="0" containsString="0" containsNumber="1" containsInteger="1" minValue="2" maxValue="5534"/>
    </cacheField>
    <cacheField name="Março" numFmtId="170">
      <sharedItems containsSemiMixedTypes="0" containsString="0" containsNumber="1" containsInteger="1" minValue="24" maxValue="2343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4">
  <r>
    <x v="0"/>
    <x v="0"/>
    <n v="456"/>
    <n v="5534"/>
    <n v="23432"/>
  </r>
  <r>
    <x v="1"/>
    <x v="0"/>
    <n v="333"/>
    <n v="223"/>
    <n v="432"/>
  </r>
  <r>
    <x v="2"/>
    <x v="0"/>
    <n v="3235"/>
    <n v="2"/>
    <n v="32"/>
  </r>
  <r>
    <x v="3"/>
    <x v="0"/>
    <n v="3456"/>
    <n v="121"/>
    <n v="32"/>
  </r>
  <r>
    <x v="4"/>
    <x v="1"/>
    <n v="1234"/>
    <n v="5"/>
    <n v="32"/>
  </r>
  <r>
    <x v="5"/>
    <x v="1"/>
    <n v="9876"/>
    <n v="656"/>
    <n v="32"/>
  </r>
  <r>
    <x v="6"/>
    <x v="0"/>
    <n v="4656"/>
    <n v="4"/>
    <n v="1234"/>
  </r>
  <r>
    <x v="7"/>
    <x v="0"/>
    <n v="4332"/>
    <n v="5"/>
    <n v="453"/>
  </r>
  <r>
    <x v="8"/>
    <x v="0"/>
    <n v="455"/>
    <n v="4"/>
    <n v="24"/>
  </r>
  <r>
    <x v="9"/>
    <x v="0"/>
    <n v="21"/>
    <n v="54"/>
    <n v="543"/>
  </r>
  <r>
    <x v="10"/>
    <x v="0"/>
    <n v="234"/>
    <n v="5"/>
    <n v="543"/>
  </r>
  <r>
    <x v="11"/>
    <x v="0"/>
    <n v="2456"/>
    <n v="5"/>
    <n v="667"/>
  </r>
  <r>
    <x v="12"/>
    <x v="2"/>
    <n v="322"/>
    <n v="6"/>
    <n v="4346"/>
  </r>
  <r>
    <x v="13"/>
    <x v="1"/>
    <n v="122"/>
    <n v="78"/>
    <n v="3322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500-000000000000}" name="Tabela dinâmica1" cacheId="0" applyNumberFormats="0" applyBorderFormats="0" applyFontFormats="0" applyPatternFormats="0" applyAlignmentFormats="0" applyWidthHeightFormats="1" dataCaption="Valores" updatedVersion="7" minRefreshableVersion="3" useAutoFormatting="1" itemPrintTitles="1" createdVersion="7" indent="0" compact="0" compactData="0" gridDropZones="1" multipleFieldFilters="0">
  <location ref="A3:D19" firstHeaderRow="1" firstDataRow="2" firstDataCol="1" rowPageCount="1" colPageCount="1"/>
  <pivotFields count="5">
    <pivotField axis="axisRow" compact="0" outline="0" showAll="0">
      <items count="15">
        <item x="11"/>
        <item x="1"/>
        <item x="12"/>
        <item x="3"/>
        <item x="0"/>
        <item x="2"/>
        <item x="7"/>
        <item x="6"/>
        <item x="10"/>
        <item x="9"/>
        <item x="4"/>
        <item x="8"/>
        <item x="5"/>
        <item x="13"/>
        <item t="default"/>
      </items>
    </pivotField>
    <pivotField axis="axisPage" compact="0" outline="0" showAll="0">
      <items count="4">
        <item x="2"/>
        <item x="0"/>
        <item x="1"/>
        <item t="default"/>
      </items>
    </pivotField>
    <pivotField dataField="1" compact="0" numFmtId="170" outline="0" showAll="0"/>
    <pivotField dataField="1" compact="0" numFmtId="170" outline="0" showAll="0"/>
    <pivotField dataField="1" compact="0" numFmtId="170" outline="0" showAll="0"/>
  </pivotFields>
  <rowFields count="1">
    <field x="0"/>
  </rowFields>
  <rowItems count="15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1" hier="-1"/>
  </pageFields>
  <dataFields count="3">
    <dataField name="Soma de Janeiro" fld="2" baseField="0" baseItem="0"/>
    <dataField name="Soma de Fevereiro" fld="3" baseField="0" baseItem="0"/>
    <dataField name="Soma de Março" fld="4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Z1"/>
  <sheetViews>
    <sheetView showGridLines="0" tabSelected="1" topLeftCell="D4" zoomScale="80" zoomScaleNormal="80" workbookViewId="0">
      <selection activeCell="N27" sqref="N27"/>
    </sheetView>
  </sheetViews>
  <sheetFormatPr defaultRowHeight="15" x14ac:dyDescent="0.25"/>
  <sheetData>
    <row r="1" spans="26:26" x14ac:dyDescent="0.25">
      <c r="Z1">
        <v>2</v>
      </c>
    </row>
  </sheetData>
  <pageMargins left="0.511811024" right="0.511811024" top="0.78740157499999996" bottom="0.78740157499999996" header="0.31496062000000002" footer="0.31496062000000002"/>
  <pageSetup paperSize="9" orientation="portrait" horizontalDpi="360" verticalDpi="36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2"/>
  <dimension ref="B2:G21"/>
  <sheetViews>
    <sheetView showGridLines="0" workbookViewId="0">
      <selection activeCell="A19" sqref="A19"/>
    </sheetView>
  </sheetViews>
  <sheetFormatPr defaultRowHeight="15" x14ac:dyDescent="0.25"/>
  <cols>
    <col min="1" max="1" width="4" customWidth="1"/>
    <col min="2" max="2" width="13.140625" customWidth="1"/>
    <col min="3" max="3" width="39.140625" customWidth="1"/>
    <col min="4" max="4" width="38.140625" customWidth="1"/>
    <col min="5" max="5" width="20" customWidth="1"/>
    <col min="6" max="6" width="22.85546875" customWidth="1"/>
    <col min="7" max="7" width="17.5703125" customWidth="1"/>
  </cols>
  <sheetData>
    <row r="2" spans="2:7" x14ac:dyDescent="0.25">
      <c r="D2" s="119" t="s">
        <v>0</v>
      </c>
      <c r="E2" s="119"/>
      <c r="F2" s="119"/>
      <c r="G2" s="119"/>
    </row>
    <row r="3" spans="2:7" x14ac:dyDescent="0.25">
      <c r="D3" s="119"/>
      <c r="E3" s="119"/>
      <c r="F3" s="119"/>
      <c r="G3" s="119"/>
    </row>
    <row r="4" spans="2:7" x14ac:dyDescent="0.25">
      <c r="D4" s="119"/>
      <c r="E4" s="119"/>
      <c r="F4" s="119"/>
      <c r="G4" s="119"/>
    </row>
    <row r="5" spans="2:7" x14ac:dyDescent="0.25">
      <c r="D5" s="119"/>
      <c r="E5" s="119"/>
      <c r="F5" s="119"/>
      <c r="G5" s="119"/>
    </row>
    <row r="6" spans="2:7" x14ac:dyDescent="0.25">
      <c r="D6" s="119"/>
      <c r="E6" s="119"/>
      <c r="F6" s="119"/>
      <c r="G6" s="119"/>
    </row>
    <row r="8" spans="2:7" x14ac:dyDescent="0.25">
      <c r="B8" s="110" t="s">
        <v>1</v>
      </c>
      <c r="C8" s="110" t="s">
        <v>2</v>
      </c>
      <c r="D8" s="110" t="s">
        <v>3</v>
      </c>
      <c r="E8" s="110" t="s">
        <v>4</v>
      </c>
      <c r="F8" s="110" t="s">
        <v>5</v>
      </c>
      <c r="G8" s="110" t="s">
        <v>6</v>
      </c>
    </row>
    <row r="9" spans="2:7" x14ac:dyDescent="0.25">
      <c r="B9" s="111">
        <v>1</v>
      </c>
      <c r="C9" s="112" t="s">
        <v>7</v>
      </c>
      <c r="D9" s="112" t="s">
        <v>8</v>
      </c>
      <c r="E9" s="118" t="s">
        <v>9</v>
      </c>
      <c r="F9" s="111" t="s">
        <v>10</v>
      </c>
      <c r="G9" s="115" t="s">
        <v>11</v>
      </c>
    </row>
    <row r="10" spans="2:7" x14ac:dyDescent="0.25">
      <c r="B10" s="111">
        <v>2</v>
      </c>
      <c r="C10" s="112" t="s">
        <v>12</v>
      </c>
      <c r="D10" s="112" t="s">
        <v>13</v>
      </c>
      <c r="E10" s="118" t="s">
        <v>9</v>
      </c>
      <c r="F10" s="111" t="s">
        <v>10</v>
      </c>
      <c r="G10" s="115" t="s">
        <v>11</v>
      </c>
    </row>
    <row r="11" spans="2:7" x14ac:dyDescent="0.25">
      <c r="B11" s="111"/>
      <c r="C11" s="112"/>
      <c r="D11" s="112"/>
      <c r="E11" s="118"/>
      <c r="F11" s="111"/>
      <c r="G11" s="115"/>
    </row>
    <row r="12" spans="2:7" x14ac:dyDescent="0.25">
      <c r="B12" s="111"/>
      <c r="C12" s="112"/>
      <c r="D12" s="112"/>
      <c r="E12" s="118"/>
      <c r="F12" s="111"/>
      <c r="G12" s="115"/>
    </row>
    <row r="13" spans="2:7" x14ac:dyDescent="0.25">
      <c r="B13" s="111"/>
      <c r="C13" s="112"/>
      <c r="D13" s="112"/>
      <c r="E13" s="118"/>
      <c r="F13" s="111"/>
      <c r="G13" s="115"/>
    </row>
    <row r="14" spans="2:7" x14ac:dyDescent="0.25">
      <c r="B14" s="111"/>
      <c r="C14" s="112"/>
      <c r="D14" s="112"/>
      <c r="E14" s="118"/>
      <c r="F14" s="111"/>
      <c r="G14" s="113"/>
    </row>
    <row r="15" spans="2:7" x14ac:dyDescent="0.25">
      <c r="B15" s="111"/>
      <c r="C15" s="112"/>
      <c r="D15" s="112"/>
      <c r="E15" s="118"/>
      <c r="F15" s="111"/>
      <c r="G15" s="114"/>
    </row>
    <row r="16" spans="2:7" x14ac:dyDescent="0.25">
      <c r="B16" s="111"/>
      <c r="C16" s="112"/>
      <c r="D16" s="112"/>
      <c r="E16" s="118"/>
      <c r="F16" s="111"/>
      <c r="G16" s="113"/>
    </row>
    <row r="17" spans="2:7" x14ac:dyDescent="0.25">
      <c r="B17" s="111"/>
      <c r="C17" s="112"/>
      <c r="D17" s="112"/>
      <c r="E17" s="118"/>
      <c r="F17" s="111"/>
      <c r="G17" s="113"/>
    </row>
    <row r="18" spans="2:7" x14ac:dyDescent="0.25">
      <c r="B18" s="111"/>
      <c r="C18" s="112"/>
      <c r="D18" s="112"/>
      <c r="E18" s="118"/>
      <c r="F18" s="111"/>
      <c r="G18" s="113"/>
    </row>
    <row r="19" spans="2:7" x14ac:dyDescent="0.25">
      <c r="B19" s="111"/>
      <c r="C19" s="112"/>
      <c r="D19" s="112"/>
      <c r="E19" s="118"/>
      <c r="F19" s="111"/>
      <c r="G19" s="113"/>
    </row>
    <row r="20" spans="2:7" x14ac:dyDescent="0.25">
      <c r="B20" s="111"/>
      <c r="C20" s="112"/>
      <c r="D20" s="112"/>
      <c r="E20" s="118"/>
      <c r="F20" s="111"/>
      <c r="G20" s="113"/>
    </row>
    <row r="21" spans="2:7" x14ac:dyDescent="0.25">
      <c r="B21" s="111"/>
      <c r="C21" s="112"/>
      <c r="D21" s="112"/>
      <c r="E21" s="118"/>
      <c r="F21" s="111"/>
      <c r="G21" s="113"/>
    </row>
  </sheetData>
  <mergeCells count="1">
    <mergeCell ref="D2:G6"/>
  </mergeCells>
  <pageMargins left="0.511811024" right="0.511811024" top="0.78740157499999996" bottom="0.78740157499999996" header="0.31496062000000002" footer="0.31496062000000002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Plan2"/>
  <dimension ref="A1:U24"/>
  <sheetViews>
    <sheetView showGridLines="0" topLeftCell="A2" zoomScale="90" zoomScaleNormal="90" workbookViewId="0">
      <selection activeCell="G22" sqref="G22"/>
    </sheetView>
  </sheetViews>
  <sheetFormatPr defaultRowHeight="15" x14ac:dyDescent="0.25"/>
  <cols>
    <col min="1" max="1" width="2.85546875" customWidth="1"/>
    <col min="2" max="2" width="18" customWidth="1"/>
    <col min="3" max="3" width="14.7109375" customWidth="1"/>
    <col min="4" max="4" width="10.85546875" customWidth="1"/>
    <col min="5" max="5" width="9.140625" customWidth="1"/>
    <col min="6" max="6" width="11.85546875" customWidth="1"/>
    <col min="7" max="7" width="11.42578125" customWidth="1"/>
    <col min="8" max="8" width="13.42578125" customWidth="1"/>
    <col min="9" max="9" width="9.42578125" customWidth="1"/>
    <col min="10" max="10" width="5.42578125" customWidth="1"/>
    <col min="11" max="11" width="3.7109375" customWidth="1"/>
    <col min="15" max="15" width="5.140625" customWidth="1"/>
    <col min="17" max="17" width="6.42578125" customWidth="1"/>
  </cols>
  <sheetData>
    <row r="1" spans="1:21" ht="15.75" thickBot="1" x14ac:dyDescent="0.3">
      <c r="A1">
        <v>3</v>
      </c>
    </row>
    <row r="2" spans="1:21" ht="19.5" thickBot="1" x14ac:dyDescent="0.3">
      <c r="B2" s="84" t="s">
        <v>14</v>
      </c>
      <c r="C2" s="83"/>
      <c r="D2" s="6"/>
      <c r="E2" s="122"/>
      <c r="F2" s="122"/>
      <c r="G2" s="122"/>
      <c r="H2" s="122"/>
      <c r="I2" s="122"/>
      <c r="J2" s="122"/>
    </row>
    <row r="3" spans="1:21" ht="8.25" customHeight="1" thickBot="1" x14ac:dyDescent="0.3">
      <c r="B3" s="1"/>
      <c r="C3" s="1"/>
      <c r="D3" s="2"/>
      <c r="E3" s="117"/>
      <c r="F3" s="117"/>
      <c r="G3" s="117"/>
      <c r="H3" s="117"/>
      <c r="I3" s="117"/>
      <c r="J3" s="117"/>
    </row>
    <row r="4" spans="1:21" ht="16.5" thickBot="1" x14ac:dyDescent="0.3">
      <c r="B4" s="123" t="s">
        <v>15</v>
      </c>
      <c r="C4" s="124"/>
      <c r="D4" s="124"/>
      <c r="E4" s="124"/>
      <c r="F4" s="124"/>
      <c r="G4" s="124"/>
      <c r="H4" s="124"/>
      <c r="I4" s="124"/>
      <c r="J4" s="125"/>
    </row>
    <row r="5" spans="1:21" ht="15.95" customHeight="1" x14ac:dyDescent="0.25">
      <c r="B5" s="72" t="s">
        <v>16</v>
      </c>
      <c r="C5" s="126"/>
      <c r="D5" s="127"/>
      <c r="E5" s="127"/>
      <c r="F5" s="127"/>
      <c r="G5" s="127"/>
      <c r="H5" s="127"/>
      <c r="I5" s="127"/>
      <c r="J5" s="128"/>
    </row>
    <row r="6" spans="1:21" ht="15.95" customHeight="1" thickBot="1" x14ac:dyDescent="0.3">
      <c r="B6" s="73" t="s">
        <v>17</v>
      </c>
      <c r="C6" s="129"/>
      <c r="D6" s="130"/>
      <c r="E6" s="133" t="s">
        <v>18</v>
      </c>
      <c r="F6" s="134"/>
      <c r="G6" s="129"/>
      <c r="H6" s="131"/>
      <c r="I6" s="131"/>
      <c r="J6" s="132"/>
      <c r="U6" s="71"/>
    </row>
    <row r="7" spans="1:21" ht="10.5" customHeight="1" thickBot="1" x14ac:dyDescent="0.3">
      <c r="B7" s="3"/>
      <c r="C7" s="4"/>
      <c r="D7" s="4"/>
      <c r="E7" s="3"/>
      <c r="F7" s="3"/>
      <c r="G7" s="4"/>
      <c r="H7" s="4"/>
      <c r="I7" s="4"/>
      <c r="J7" s="4"/>
    </row>
    <row r="8" spans="1:21" ht="18" customHeight="1" x14ac:dyDescent="0.25">
      <c r="B8" s="163" t="s">
        <v>19</v>
      </c>
      <c r="C8" s="163"/>
      <c r="D8" s="163"/>
      <c r="E8" s="163"/>
      <c r="F8" s="163"/>
      <c r="G8" s="163"/>
      <c r="H8" s="163"/>
      <c r="I8" s="163"/>
      <c r="J8" s="163"/>
      <c r="L8" s="177" t="s">
        <v>20</v>
      </c>
      <c r="M8" s="178"/>
      <c r="N8" s="178"/>
      <c r="O8" s="178"/>
      <c r="P8" s="178"/>
      <c r="Q8" s="179"/>
    </row>
    <row r="9" spans="1:21" ht="15.95" customHeight="1" thickBot="1" x14ac:dyDescent="0.3">
      <c r="B9" s="116" t="s">
        <v>21</v>
      </c>
      <c r="C9" s="174" t="s">
        <v>22</v>
      </c>
      <c r="D9" s="174"/>
      <c r="E9" s="174"/>
      <c r="F9" s="116" t="s">
        <v>23</v>
      </c>
      <c r="G9" s="116" t="s">
        <v>24</v>
      </c>
      <c r="H9" s="116" t="s">
        <v>25</v>
      </c>
      <c r="I9" s="174" t="s">
        <v>26</v>
      </c>
      <c r="J9" s="174"/>
      <c r="L9" s="180"/>
      <c r="M9" s="181"/>
      <c r="N9" s="181"/>
      <c r="O9" s="181"/>
      <c r="P9" s="181"/>
      <c r="Q9" s="182"/>
    </row>
    <row r="10" spans="1:21" ht="15.95" customHeight="1" x14ac:dyDescent="0.25">
      <c r="B10" s="80">
        <v>2000</v>
      </c>
      <c r="C10" s="121" t="str">
        <f>IF(B10="","",VLOOKUP(B10,PEDIDOS!$B$9:$E$34,2,FALSE))</f>
        <v>Mouse Óptico sem fio Microsoft</v>
      </c>
      <c r="D10" s="121"/>
      <c r="E10" s="121"/>
      <c r="F10" s="80" t="str">
        <f>IF(B10="","",VLOOKUP(B10,PEDIDOS!$B$9:$E$34,4,FALSE))</f>
        <v>Informática</v>
      </c>
      <c r="G10" s="81">
        <v>10</v>
      </c>
      <c r="H10" s="82">
        <f>IF(B10="","",VLOOKUP(B10,PEDIDOS!$B$9:$E$34,3,FALSE))</f>
        <v>65</v>
      </c>
      <c r="I10" s="120">
        <f>IF(OR(G10="",H10=""),"",PRODUCT(G10:H10))</f>
        <v>650</v>
      </c>
      <c r="J10" s="120"/>
      <c r="L10" s="164" t="s">
        <v>27</v>
      </c>
      <c r="M10" s="165"/>
      <c r="N10" s="165"/>
      <c r="O10" s="166"/>
      <c r="P10" s="170"/>
      <c r="Q10" s="171"/>
    </row>
    <row r="11" spans="1:21" ht="15.95" customHeight="1" x14ac:dyDescent="0.25">
      <c r="B11" s="80">
        <v>2000</v>
      </c>
      <c r="C11" s="121" t="str">
        <f>IF(B11="","",VLOOKUP(B11,PEDIDOS!$B$9:$E$34,2,FALSE))</f>
        <v>Mouse Óptico sem fio Microsoft</v>
      </c>
      <c r="D11" s="121"/>
      <c r="E11" s="121"/>
      <c r="F11" s="80" t="str">
        <f>IF(B11="","",VLOOKUP(B11,PEDIDOS!$B$9:$E$34,4,FALSE))</f>
        <v>Informática</v>
      </c>
      <c r="G11" s="81">
        <v>5</v>
      </c>
      <c r="H11" s="82">
        <f>IF(B11="","",VLOOKUP(B11,PEDIDOS!$B$9:$E$34,3,FALSE))</f>
        <v>65</v>
      </c>
      <c r="I11" s="120">
        <f t="shared" ref="I11:I18" si="0">IF(OR(G11="",H11=""),"",PRODUCT(G11:H11))</f>
        <v>325</v>
      </c>
      <c r="J11" s="120"/>
      <c r="L11" s="167" t="s">
        <v>28</v>
      </c>
      <c r="M11" s="168"/>
      <c r="N11" s="168"/>
      <c r="O11" s="169"/>
      <c r="P11" s="172"/>
      <c r="Q11" s="173"/>
    </row>
    <row r="12" spans="1:21" ht="15.95" customHeight="1" x14ac:dyDescent="0.25">
      <c r="B12" s="80">
        <v>2002</v>
      </c>
      <c r="C12" s="121" t="str">
        <f>IF(B12="","",VLOOKUP(B12,PEDIDOS!$B$9:$E$34,2,FALSE))</f>
        <v>Notebook Dell</v>
      </c>
      <c r="D12" s="121"/>
      <c r="E12" s="121"/>
      <c r="F12" s="80" t="str">
        <f>IF(B12="","",VLOOKUP(B12,PEDIDOS!$B$9:$E$34,4,FALSE))</f>
        <v>Informática</v>
      </c>
      <c r="G12" s="81">
        <v>4</v>
      </c>
      <c r="H12" s="82">
        <f>IF(B12="","",VLOOKUP(B12,PEDIDOS!$B$9:$E$34,3,FALSE))</f>
        <v>1890</v>
      </c>
      <c r="I12" s="120">
        <f t="shared" si="0"/>
        <v>7560</v>
      </c>
      <c r="J12" s="120"/>
      <c r="L12" s="167" t="s">
        <v>29</v>
      </c>
      <c r="M12" s="168"/>
      <c r="N12" s="168"/>
      <c r="O12" s="169"/>
      <c r="P12" s="172"/>
      <c r="Q12" s="173"/>
    </row>
    <row r="13" spans="1:21" ht="15.95" customHeight="1" x14ac:dyDescent="0.25">
      <c r="B13" s="80">
        <v>2021</v>
      </c>
      <c r="C13" s="121" t="str">
        <f>IF(B13="","",VLOOKUP(B13,PEDIDOS!$B$9:$E$34,2,FALSE))</f>
        <v>Chip Claro 128K Pré-Pago - DDD11</v>
      </c>
      <c r="D13" s="121"/>
      <c r="E13" s="121"/>
      <c r="F13" s="80" t="str">
        <f>IF(B13="","",VLOOKUP(B13,PEDIDOS!$B$9:$E$34,4,FALSE))</f>
        <v>Telefonia</v>
      </c>
      <c r="G13" s="81">
        <v>5</v>
      </c>
      <c r="H13" s="82">
        <f>IF(B13="","",VLOOKUP(B13,PEDIDOS!$B$9:$E$34,3,FALSE))</f>
        <v>10</v>
      </c>
      <c r="I13" s="120">
        <f t="shared" si="0"/>
        <v>50</v>
      </c>
      <c r="J13" s="120"/>
      <c r="L13" s="167" t="s">
        <v>30</v>
      </c>
      <c r="M13" s="168"/>
      <c r="N13" s="168"/>
      <c r="O13" s="169"/>
      <c r="P13" s="172"/>
      <c r="Q13" s="173"/>
    </row>
    <row r="14" spans="1:21" ht="15.95" customHeight="1" x14ac:dyDescent="0.25">
      <c r="B14" s="80">
        <v>2001</v>
      </c>
      <c r="C14" s="121" t="str">
        <f>IF(B14="","",VLOOKUP(B14,PEDIDOS!$B$9:$E$34,2,FALSE))</f>
        <v>Impressora Multi HP</v>
      </c>
      <c r="D14" s="121"/>
      <c r="E14" s="121"/>
      <c r="F14" s="80" t="str">
        <f>IF(B14="","",VLOOKUP(B14,PEDIDOS!$B$9:$E$34,4,FALSE))</f>
        <v>Informática</v>
      </c>
      <c r="G14" s="81"/>
      <c r="H14" s="82">
        <f>IF(B14="","",VLOOKUP(B14,PEDIDOS!$B$9:$E$34,3,FALSE))</f>
        <v>399</v>
      </c>
      <c r="I14" s="120" t="str">
        <f t="shared" si="0"/>
        <v/>
      </c>
      <c r="J14" s="120"/>
      <c r="L14" s="167" t="s">
        <v>31</v>
      </c>
      <c r="M14" s="168"/>
      <c r="N14" s="168"/>
      <c r="O14" s="169"/>
      <c r="P14" s="172"/>
      <c r="Q14" s="173"/>
    </row>
    <row r="15" spans="1:21" ht="15.95" customHeight="1" x14ac:dyDescent="0.25">
      <c r="B15" s="80">
        <v>2000</v>
      </c>
      <c r="C15" s="121" t="str">
        <f>IF(B15="","",VLOOKUP(B15,PEDIDOS!$B$9:$E$34,2,FALSE))</f>
        <v>Mouse Óptico sem fio Microsoft</v>
      </c>
      <c r="D15" s="121"/>
      <c r="E15" s="121"/>
      <c r="F15" s="80" t="str">
        <f>IF(B15="","",VLOOKUP(B15,PEDIDOS!$B$9:$E$34,4,FALSE))</f>
        <v>Informática</v>
      </c>
      <c r="G15" s="81">
        <v>2</v>
      </c>
      <c r="H15" s="82">
        <f>IF(B15="","",VLOOKUP(B15,PEDIDOS!$B$9:$E$34,3,FALSE))</f>
        <v>65</v>
      </c>
      <c r="I15" s="120">
        <f t="shared" si="0"/>
        <v>130</v>
      </c>
      <c r="J15" s="120"/>
      <c r="L15" s="167" t="s">
        <v>32</v>
      </c>
      <c r="M15" s="168"/>
      <c r="N15" s="168"/>
      <c r="O15" s="169"/>
      <c r="P15" s="172"/>
      <c r="Q15" s="173"/>
    </row>
    <row r="16" spans="1:21" ht="15.95" customHeight="1" x14ac:dyDescent="0.25">
      <c r="B16" s="80"/>
      <c r="C16" s="121" t="str">
        <f>IF(B16="","",VLOOKUP(B16,PEDIDOS!$B$9:$E$34,2,FALSE))</f>
        <v/>
      </c>
      <c r="D16" s="121"/>
      <c r="E16" s="121"/>
      <c r="F16" s="80" t="str">
        <f>IF(B16="","",VLOOKUP(B16,PEDIDOS!$B$9:$E$34,4,FALSE))</f>
        <v/>
      </c>
      <c r="G16" s="81"/>
      <c r="H16" s="82" t="str">
        <f>IF(B16="","",VLOOKUP(B16,PEDIDOS!$B$9:$E$34,3,FALSE))</f>
        <v/>
      </c>
      <c r="I16" s="120" t="str">
        <f t="shared" si="0"/>
        <v/>
      </c>
      <c r="J16" s="120"/>
      <c r="L16" s="167" t="s">
        <v>33</v>
      </c>
      <c r="M16" s="168"/>
      <c r="N16" s="168"/>
      <c r="O16" s="169"/>
      <c r="P16" s="183"/>
      <c r="Q16" s="184"/>
    </row>
    <row r="17" spans="2:17" ht="15.95" customHeight="1" x14ac:dyDescent="0.25">
      <c r="B17" s="80"/>
      <c r="C17" s="121" t="str">
        <f>IF(B17="","",VLOOKUP(B17,PEDIDOS!$B$9:$E$34,2,FALSE))</f>
        <v/>
      </c>
      <c r="D17" s="121"/>
      <c r="E17" s="121"/>
      <c r="F17" s="80" t="str">
        <f>IF(B17="","",VLOOKUP(B17,PEDIDOS!$B$9:$E$34,4,FALSE))</f>
        <v/>
      </c>
      <c r="G17" s="81"/>
      <c r="H17" s="82" t="str">
        <f>IF(B17="","",VLOOKUP(B17,PEDIDOS!$B$9:$E$34,3,FALSE))</f>
        <v/>
      </c>
      <c r="I17" s="120" t="str">
        <f t="shared" si="0"/>
        <v/>
      </c>
      <c r="J17" s="120"/>
      <c r="L17" s="167" t="s">
        <v>34</v>
      </c>
      <c r="M17" s="168"/>
      <c r="N17" s="168"/>
      <c r="O17" s="169"/>
      <c r="P17" s="183"/>
      <c r="Q17" s="184"/>
    </row>
    <row r="18" spans="2:17" ht="15.95" customHeight="1" thickBot="1" x14ac:dyDescent="0.3">
      <c r="B18" s="80"/>
      <c r="C18" s="121" t="str">
        <f>IF(B18="","",VLOOKUP(B18,PEDIDOS!$B$9:$E$34,2,FALSE))</f>
        <v/>
      </c>
      <c r="D18" s="121"/>
      <c r="E18" s="121"/>
      <c r="F18" s="80" t="str">
        <f>IF(B18="","",VLOOKUP(B18,PEDIDOS!$B$9:$E$34,4,FALSE))</f>
        <v/>
      </c>
      <c r="G18" s="81"/>
      <c r="H18" s="82" t="str">
        <f>IF(B18="","",VLOOKUP(B18,PEDIDOS!$B$9:$E$34,3,FALSE))</f>
        <v/>
      </c>
      <c r="I18" s="120" t="str">
        <f t="shared" si="0"/>
        <v/>
      </c>
      <c r="J18" s="120"/>
      <c r="L18" s="185" t="s">
        <v>35</v>
      </c>
      <c r="M18" s="186"/>
      <c r="N18" s="186"/>
      <c r="O18" s="187"/>
      <c r="P18" s="175"/>
      <c r="Q18" s="176"/>
    </row>
    <row r="19" spans="2:17" ht="10.5" customHeight="1" thickBot="1" x14ac:dyDescent="0.3">
      <c r="B19" s="5"/>
      <c r="C19" s="5"/>
      <c r="D19" s="5"/>
      <c r="E19" s="5"/>
      <c r="F19" s="5"/>
      <c r="G19" s="5"/>
      <c r="H19" s="60" t="str">
        <f>IF(F19="","",VLOOKUP(B19,PEDIDOS!$B$9:$E$34,3))</f>
        <v/>
      </c>
      <c r="I19" s="5"/>
      <c r="J19" s="5"/>
    </row>
    <row r="20" spans="2:17" ht="15.95" customHeight="1" thickBot="1" x14ac:dyDescent="0.3">
      <c r="B20" s="142"/>
      <c r="C20" s="143"/>
      <c r="D20" s="143"/>
      <c r="E20" s="7"/>
      <c r="F20" s="74" t="s">
        <v>36</v>
      </c>
      <c r="G20" s="75"/>
      <c r="H20" s="148">
        <f>SUM(I10:J18)</f>
        <v>8715</v>
      </c>
      <c r="I20" s="149"/>
      <c r="J20" s="150"/>
      <c r="L20" s="153" t="s">
        <v>37</v>
      </c>
      <c r="M20" s="154"/>
      <c r="N20" s="154"/>
      <c r="O20" s="155"/>
    </row>
    <row r="21" spans="2:17" ht="15.95" customHeight="1" x14ac:dyDescent="0.25">
      <c r="B21" s="144"/>
      <c r="C21" s="145"/>
      <c r="D21" s="145"/>
      <c r="E21" s="8"/>
      <c r="F21" s="76" t="s">
        <v>38</v>
      </c>
      <c r="G21" s="77"/>
      <c r="H21" s="160"/>
      <c r="I21" s="161"/>
      <c r="J21" s="162"/>
      <c r="L21" s="55" t="s">
        <v>39</v>
      </c>
      <c r="M21" s="56"/>
      <c r="N21" s="158" t="s">
        <v>40</v>
      </c>
      <c r="O21" s="159"/>
    </row>
    <row r="22" spans="2:17" ht="15.95" customHeight="1" x14ac:dyDescent="0.25">
      <c r="B22" s="144"/>
      <c r="C22" s="145"/>
      <c r="D22" s="145"/>
      <c r="E22" s="8"/>
      <c r="F22" s="76" t="s">
        <v>41</v>
      </c>
      <c r="G22" s="77"/>
      <c r="H22" s="135" t="str">
        <f>IF(A1=1,H20*20%,IF(A1=4,H20*5%,"Sem Desconto"))</f>
        <v>Sem Desconto</v>
      </c>
      <c r="I22" s="120"/>
      <c r="J22" s="136"/>
      <c r="L22" s="57" t="s">
        <v>42</v>
      </c>
      <c r="M22" s="58"/>
      <c r="N22" s="137" t="s">
        <v>43</v>
      </c>
      <c r="O22" s="138"/>
    </row>
    <row r="23" spans="2:17" ht="15.95" customHeight="1" x14ac:dyDescent="0.25">
      <c r="B23" s="144"/>
      <c r="C23" s="145"/>
      <c r="D23" s="145"/>
      <c r="E23" s="8"/>
      <c r="F23" s="76" t="s">
        <v>44</v>
      </c>
      <c r="G23" s="77"/>
      <c r="H23" s="135">
        <f>IF(A1=3,(H20*109.69%)/3,"Não Parcelado")</f>
        <v>3186.4945000000002</v>
      </c>
      <c r="I23" s="120"/>
      <c r="J23" s="136"/>
      <c r="L23" s="57" t="s">
        <v>45</v>
      </c>
      <c r="M23" s="58"/>
      <c r="N23" s="137" t="s">
        <v>46</v>
      </c>
      <c r="O23" s="138"/>
    </row>
    <row r="24" spans="2:17" ht="15.95" customHeight="1" thickBot="1" x14ac:dyDescent="0.3">
      <c r="B24" s="146"/>
      <c r="C24" s="147"/>
      <c r="D24" s="147"/>
      <c r="E24" s="9"/>
      <c r="F24" s="78" t="s">
        <v>47</v>
      </c>
      <c r="G24" s="79"/>
      <c r="H24" s="139">
        <f>IF(OR(A1=1,A1=4),H20-H22,IF(A1=2,H20*104.75%,H23*3))</f>
        <v>9559.4835000000003</v>
      </c>
      <c r="I24" s="140"/>
      <c r="J24" s="141"/>
      <c r="L24" s="151" t="s">
        <v>48</v>
      </c>
      <c r="M24" s="152"/>
      <c r="N24" s="156" t="s">
        <v>49</v>
      </c>
      <c r="O24" s="157"/>
    </row>
  </sheetData>
  <mergeCells count="58">
    <mergeCell ref="P18:Q18"/>
    <mergeCell ref="L8:Q9"/>
    <mergeCell ref="P12:Q12"/>
    <mergeCell ref="P13:Q13"/>
    <mergeCell ref="P14:Q14"/>
    <mergeCell ref="P15:Q15"/>
    <mergeCell ref="P16:Q16"/>
    <mergeCell ref="P17:Q17"/>
    <mergeCell ref="L13:O13"/>
    <mergeCell ref="L14:O14"/>
    <mergeCell ref="L15:O15"/>
    <mergeCell ref="L16:O16"/>
    <mergeCell ref="L17:O17"/>
    <mergeCell ref="L18:O18"/>
    <mergeCell ref="B8:J8"/>
    <mergeCell ref="L10:O10"/>
    <mergeCell ref="L11:O11"/>
    <mergeCell ref="L12:O12"/>
    <mergeCell ref="P10:Q10"/>
    <mergeCell ref="P11:Q11"/>
    <mergeCell ref="C9:E9"/>
    <mergeCell ref="I9:J9"/>
    <mergeCell ref="I10:J10"/>
    <mergeCell ref="I11:J11"/>
    <mergeCell ref="C10:E10"/>
    <mergeCell ref="C11:E11"/>
    <mergeCell ref="C12:E12"/>
    <mergeCell ref="H22:J22"/>
    <mergeCell ref="H23:J23"/>
    <mergeCell ref="N22:O22"/>
    <mergeCell ref="H24:J24"/>
    <mergeCell ref="C17:E17"/>
    <mergeCell ref="I17:J17"/>
    <mergeCell ref="C18:E18"/>
    <mergeCell ref="I18:J18"/>
    <mergeCell ref="B20:D24"/>
    <mergeCell ref="H20:J20"/>
    <mergeCell ref="L24:M24"/>
    <mergeCell ref="L20:O20"/>
    <mergeCell ref="N24:O24"/>
    <mergeCell ref="N23:O23"/>
    <mergeCell ref="N21:O21"/>
    <mergeCell ref="H21:J21"/>
    <mergeCell ref="E2:J2"/>
    <mergeCell ref="B4:J4"/>
    <mergeCell ref="C5:J5"/>
    <mergeCell ref="C6:D6"/>
    <mergeCell ref="G6:J6"/>
    <mergeCell ref="E6:F6"/>
    <mergeCell ref="I16:J16"/>
    <mergeCell ref="I12:J12"/>
    <mergeCell ref="I13:J13"/>
    <mergeCell ref="I14:J14"/>
    <mergeCell ref="C13:E13"/>
    <mergeCell ref="C14:E14"/>
    <mergeCell ref="C15:E15"/>
    <mergeCell ref="I15:J15"/>
    <mergeCell ref="C16:E16"/>
  </mergeCells>
  <dataValidations count="2">
    <dataValidation allowBlank="1" showErrorMessage="1" promptTitle="ATENÇÃO !!!" prompt="ID PRODUTO ENTRE 2000 E 2025." sqref="C10:J18" xr:uid="{00000000-0002-0000-0200-000000000000}"/>
    <dataValidation type="whole" allowBlank="1" showInputMessage="1" showErrorMessage="1" errorTitle="ATENÇÃO" error="ID do produto inválido !!!" promptTitle="ATENÇÃO" prompt="Digite o ID do Produto entre 2000 e 2025." sqref="B10:B18" xr:uid="{00000000-0002-0000-0200-000001000000}">
      <formula1>2000</formula1>
      <formula2>2025</formula2>
    </dataValidation>
  </dataValidation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3" name="Drop Down 2">
              <controlPr defaultSize="0" autoLine="0" autoPict="0">
                <anchor moveWithCells="1">
                  <from>
                    <xdr:col>6</xdr:col>
                    <xdr:colOff>752475</xdr:colOff>
                    <xdr:row>20</xdr:row>
                    <xdr:rowOff>9525</xdr:rowOff>
                  </from>
                  <to>
                    <xdr:col>10</xdr:col>
                    <xdr:colOff>19050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Plan3"/>
  <dimension ref="B1:J143"/>
  <sheetViews>
    <sheetView showGridLines="0" workbookViewId="0">
      <selection activeCell="B10" sqref="B10"/>
    </sheetView>
  </sheetViews>
  <sheetFormatPr defaultRowHeight="15" outlineLevelRow="2" x14ac:dyDescent="0.25"/>
  <cols>
    <col min="1" max="1" width="3.5703125" customWidth="1"/>
    <col min="2" max="2" width="26.85546875" customWidth="1"/>
    <col min="3" max="3" width="18.7109375" customWidth="1"/>
    <col min="4" max="4" width="20" customWidth="1"/>
    <col min="5" max="5" width="3.28515625" customWidth="1"/>
    <col min="8" max="8" width="13.85546875" bestFit="1" customWidth="1"/>
  </cols>
  <sheetData>
    <row r="1" spans="2:10" ht="16.5" customHeight="1" x14ac:dyDescent="0.25"/>
    <row r="2" spans="2:10" x14ac:dyDescent="0.25">
      <c r="F2" s="14" t="s">
        <v>50</v>
      </c>
      <c r="G2" s="14"/>
      <c r="H2" s="14"/>
      <c r="I2" s="14"/>
      <c r="J2" s="14"/>
    </row>
    <row r="3" spans="2:10" x14ac:dyDescent="0.25">
      <c r="F3" s="14" t="s">
        <v>51</v>
      </c>
      <c r="G3" s="14"/>
      <c r="H3" s="14"/>
      <c r="I3" s="14"/>
      <c r="J3" s="14"/>
    </row>
    <row r="6" spans="2:10" x14ac:dyDescent="0.25">
      <c r="C6" s="13"/>
    </row>
    <row r="7" spans="2:10" ht="15.75" thickBot="1" x14ac:dyDescent="0.3">
      <c r="C7" s="13"/>
      <c r="I7" s="14"/>
    </row>
    <row r="8" spans="2:10" ht="16.5" thickBot="1" x14ac:dyDescent="0.3">
      <c r="B8" s="188" t="s">
        <v>52</v>
      </c>
      <c r="C8" s="189"/>
      <c r="D8" s="190"/>
    </row>
    <row r="9" spans="2:10" ht="9" customHeight="1" thickBot="1" x14ac:dyDescent="0.3">
      <c r="C9" s="13"/>
    </row>
    <row r="10" spans="2:10" ht="15.75" thickBot="1" x14ac:dyDescent="0.3">
      <c r="B10" s="67" t="s">
        <v>53</v>
      </c>
      <c r="C10" s="68" t="s">
        <v>54</v>
      </c>
      <c r="D10" s="67" t="s">
        <v>55</v>
      </c>
    </row>
    <row r="11" spans="2:10" outlineLevel="2" x14ac:dyDescent="0.25">
      <c r="B11" s="15" t="s">
        <v>56</v>
      </c>
      <c r="C11" s="25">
        <v>34856</v>
      </c>
      <c r="D11" s="16">
        <v>565544</v>
      </c>
      <c r="G11" s="96"/>
      <c r="H11" s="94"/>
    </row>
    <row r="12" spans="2:10" outlineLevel="2" x14ac:dyDescent="0.25">
      <c r="B12" s="15" t="s">
        <v>56</v>
      </c>
      <c r="C12" s="26">
        <v>25221</v>
      </c>
      <c r="D12" s="17">
        <v>45214</v>
      </c>
      <c r="G12" s="97"/>
    </row>
    <row r="13" spans="2:10" outlineLevel="2" x14ac:dyDescent="0.25">
      <c r="B13" s="15" t="s">
        <v>56</v>
      </c>
      <c r="C13" s="26">
        <v>9857</v>
      </c>
      <c r="D13" s="17">
        <v>225663</v>
      </c>
      <c r="G13" s="98"/>
    </row>
    <row r="14" spans="2:10" outlineLevel="2" x14ac:dyDescent="0.25">
      <c r="B14" s="15" t="s">
        <v>56</v>
      </c>
      <c r="C14" s="26">
        <v>22336</v>
      </c>
      <c r="D14" s="17">
        <v>253654</v>
      </c>
      <c r="G14" s="13"/>
      <c r="H14" s="95"/>
    </row>
    <row r="15" spans="2:10" outlineLevel="2" x14ac:dyDescent="0.25">
      <c r="B15" s="15" t="s">
        <v>56</v>
      </c>
      <c r="C15" s="26">
        <v>9587</v>
      </c>
      <c r="D15" s="17">
        <v>896542</v>
      </c>
      <c r="G15" s="13"/>
    </row>
    <row r="16" spans="2:10" outlineLevel="1" x14ac:dyDescent="0.25">
      <c r="B16" s="99" t="s">
        <v>57</v>
      </c>
      <c r="C16" s="26">
        <f>SUBTOTAL(9,C11:C15)</f>
        <v>101857</v>
      </c>
      <c r="D16" s="17"/>
      <c r="G16" s="13"/>
    </row>
    <row r="17" spans="2:4" outlineLevel="2" x14ac:dyDescent="0.25">
      <c r="B17" s="18" t="s">
        <v>58</v>
      </c>
      <c r="C17" s="27">
        <v>9852</v>
      </c>
      <c r="D17" s="19">
        <v>12544</v>
      </c>
    </row>
    <row r="18" spans="2:4" outlineLevel="2" x14ac:dyDescent="0.25">
      <c r="B18" s="18" t="s">
        <v>58</v>
      </c>
      <c r="C18" s="27">
        <v>11125</v>
      </c>
      <c r="D18" s="19">
        <v>25413</v>
      </c>
    </row>
    <row r="19" spans="2:4" outlineLevel="2" x14ac:dyDescent="0.25">
      <c r="B19" s="18" t="s">
        <v>58</v>
      </c>
      <c r="C19" s="26">
        <v>32556</v>
      </c>
      <c r="D19" s="17">
        <v>44474</v>
      </c>
    </row>
    <row r="20" spans="2:4" outlineLevel="2" x14ac:dyDescent="0.25">
      <c r="B20" s="18" t="s">
        <v>58</v>
      </c>
      <c r="C20" s="26">
        <v>45201</v>
      </c>
      <c r="D20" s="17">
        <v>142122</v>
      </c>
    </row>
    <row r="21" spans="2:4" outlineLevel="2" x14ac:dyDescent="0.25">
      <c r="B21" s="18" t="s">
        <v>58</v>
      </c>
      <c r="C21" s="26">
        <v>36982</v>
      </c>
      <c r="D21" s="17">
        <v>112253</v>
      </c>
    </row>
    <row r="22" spans="2:4" outlineLevel="2" x14ac:dyDescent="0.25">
      <c r="B22" s="18" t="s">
        <v>58</v>
      </c>
      <c r="C22" s="26">
        <v>41145</v>
      </c>
      <c r="D22" s="17">
        <v>121217</v>
      </c>
    </row>
    <row r="23" spans="2:4" outlineLevel="2" x14ac:dyDescent="0.25">
      <c r="B23" s="18" t="s">
        <v>58</v>
      </c>
      <c r="C23" s="26">
        <v>56632</v>
      </c>
      <c r="D23" s="17">
        <v>655554</v>
      </c>
    </row>
    <row r="24" spans="2:4" outlineLevel="2" x14ac:dyDescent="0.25">
      <c r="B24" s="18" t="s">
        <v>58</v>
      </c>
      <c r="C24" s="26">
        <v>41212</v>
      </c>
      <c r="D24" s="17">
        <v>561221</v>
      </c>
    </row>
    <row r="25" spans="2:4" outlineLevel="1" x14ac:dyDescent="0.25">
      <c r="B25" s="100" t="s">
        <v>59</v>
      </c>
      <c r="C25" s="26">
        <f>SUBTOTAL(9,C17:C24)</f>
        <v>274705</v>
      </c>
      <c r="D25" s="17"/>
    </row>
    <row r="26" spans="2:4" outlineLevel="2" x14ac:dyDescent="0.25">
      <c r="B26" s="20" t="s">
        <v>60</v>
      </c>
      <c r="C26" s="26">
        <v>19857</v>
      </c>
      <c r="D26" s="17">
        <v>121112</v>
      </c>
    </row>
    <row r="27" spans="2:4" outlineLevel="2" x14ac:dyDescent="0.25">
      <c r="B27" s="20" t="s">
        <v>60</v>
      </c>
      <c r="C27" s="26">
        <v>11741</v>
      </c>
      <c r="D27" s="17">
        <v>554112</v>
      </c>
    </row>
    <row r="28" spans="2:4" outlineLevel="2" x14ac:dyDescent="0.25">
      <c r="B28" s="20" t="s">
        <v>60</v>
      </c>
      <c r="C28" s="26">
        <v>22123</v>
      </c>
      <c r="D28" s="17">
        <v>185477</v>
      </c>
    </row>
    <row r="29" spans="2:4" outlineLevel="2" x14ac:dyDescent="0.25">
      <c r="B29" s="20" t="s">
        <v>60</v>
      </c>
      <c r="C29" s="26">
        <v>12365</v>
      </c>
      <c r="D29" s="17">
        <v>211456</v>
      </c>
    </row>
    <row r="30" spans="2:4" outlineLevel="2" x14ac:dyDescent="0.25">
      <c r="B30" s="20" t="s">
        <v>60</v>
      </c>
      <c r="C30" s="26">
        <v>6442</v>
      </c>
      <c r="D30" s="17">
        <v>121221</v>
      </c>
    </row>
    <row r="31" spans="2:4" outlineLevel="2" x14ac:dyDescent="0.25">
      <c r="B31" s="20" t="s">
        <v>60</v>
      </c>
      <c r="C31" s="26">
        <v>36985</v>
      </c>
      <c r="D31" s="17">
        <v>653222</v>
      </c>
    </row>
    <row r="32" spans="2:4" outlineLevel="1" x14ac:dyDescent="0.25">
      <c r="B32" s="101" t="s">
        <v>61</v>
      </c>
      <c r="C32" s="26">
        <f>SUBTOTAL(9,C26:C31)</f>
        <v>109513</v>
      </c>
      <c r="D32" s="17"/>
    </row>
    <row r="33" spans="2:4" outlineLevel="2" x14ac:dyDescent="0.25">
      <c r="B33" s="20" t="s">
        <v>62</v>
      </c>
      <c r="C33" s="26">
        <v>1256</v>
      </c>
      <c r="D33" s="17">
        <v>363512</v>
      </c>
    </row>
    <row r="34" spans="2:4" outlineLevel="2" x14ac:dyDescent="0.25">
      <c r="B34" s="20" t="s">
        <v>62</v>
      </c>
      <c r="C34" s="26">
        <v>985</v>
      </c>
      <c r="D34" s="17">
        <v>633221</v>
      </c>
    </row>
    <row r="35" spans="2:4" outlineLevel="2" x14ac:dyDescent="0.25">
      <c r="B35" s="20" t="s">
        <v>62</v>
      </c>
      <c r="C35" s="26">
        <v>46654.22</v>
      </c>
      <c r="D35" s="17">
        <v>545445</v>
      </c>
    </row>
    <row r="36" spans="2:4" outlineLevel="2" x14ac:dyDescent="0.25">
      <c r="B36" s="20" t="s">
        <v>62</v>
      </c>
      <c r="C36" s="26">
        <v>47242.16</v>
      </c>
      <c r="D36" s="17">
        <v>144587</v>
      </c>
    </row>
    <row r="37" spans="2:4" outlineLevel="2" x14ac:dyDescent="0.25">
      <c r="B37" s="20" t="s">
        <v>62</v>
      </c>
      <c r="C37" s="26">
        <v>47885.47</v>
      </c>
      <c r="D37" s="17">
        <v>152214</v>
      </c>
    </row>
    <row r="38" spans="2:4" outlineLevel="2" x14ac:dyDescent="0.25">
      <c r="B38" s="20" t="s">
        <v>62</v>
      </c>
      <c r="C38" s="26">
        <v>48420.45</v>
      </c>
      <c r="D38" s="17">
        <v>155634</v>
      </c>
    </row>
    <row r="39" spans="2:4" outlineLevel="1" x14ac:dyDescent="0.25">
      <c r="B39" s="101" t="s">
        <v>63</v>
      </c>
      <c r="C39" s="26">
        <f>SUBTOTAL(9,C33:C38)</f>
        <v>192443.3</v>
      </c>
      <c r="D39" s="17"/>
    </row>
    <row r="40" spans="2:4" outlineLevel="2" x14ac:dyDescent="0.25">
      <c r="B40" s="20" t="s">
        <v>64</v>
      </c>
      <c r="C40" s="26">
        <v>11232</v>
      </c>
      <c r="D40" s="17">
        <v>212211</v>
      </c>
    </row>
    <row r="41" spans="2:4" outlineLevel="2" x14ac:dyDescent="0.25">
      <c r="B41" s="20" t="s">
        <v>64</v>
      </c>
      <c r="C41" s="26">
        <v>15254</v>
      </c>
      <c r="D41" s="17">
        <v>985589</v>
      </c>
    </row>
    <row r="42" spans="2:4" outlineLevel="2" x14ac:dyDescent="0.25">
      <c r="B42" s="20" t="s">
        <v>64</v>
      </c>
      <c r="C42" s="26">
        <v>89954</v>
      </c>
      <c r="D42" s="17">
        <v>774444</v>
      </c>
    </row>
    <row r="43" spans="2:4" outlineLevel="2" x14ac:dyDescent="0.25">
      <c r="B43" s="20" t="s">
        <v>64</v>
      </c>
      <c r="C43" s="26">
        <v>78564</v>
      </c>
      <c r="D43" s="17">
        <v>985574</v>
      </c>
    </row>
    <row r="44" spans="2:4" outlineLevel="2" x14ac:dyDescent="0.25">
      <c r="B44" s="20" t="s">
        <v>64</v>
      </c>
      <c r="C44" s="26">
        <v>48963</v>
      </c>
      <c r="D44" s="21">
        <v>896523</v>
      </c>
    </row>
    <row r="45" spans="2:4" outlineLevel="2" x14ac:dyDescent="0.25">
      <c r="B45" s="20" t="s">
        <v>64</v>
      </c>
      <c r="C45" s="26">
        <v>6554</v>
      </c>
      <c r="D45" s="17">
        <v>554121</v>
      </c>
    </row>
    <row r="46" spans="2:4" outlineLevel="2" x14ac:dyDescent="0.25">
      <c r="B46" s="20" t="s">
        <v>64</v>
      </c>
      <c r="C46" s="26">
        <v>2245</v>
      </c>
      <c r="D46" s="17">
        <v>541223</v>
      </c>
    </row>
    <row r="47" spans="2:4" outlineLevel="2" x14ac:dyDescent="0.25">
      <c r="B47" s="20" t="s">
        <v>64</v>
      </c>
      <c r="C47" s="26">
        <v>6552</v>
      </c>
      <c r="D47" s="17">
        <v>411522</v>
      </c>
    </row>
    <row r="48" spans="2:4" outlineLevel="1" x14ac:dyDescent="0.25">
      <c r="B48" s="101" t="s">
        <v>65</v>
      </c>
      <c r="C48" s="26">
        <f>SUBTOTAL(9,C40:C47)</f>
        <v>259318</v>
      </c>
      <c r="D48" s="17"/>
    </row>
    <row r="49" spans="2:4" outlineLevel="2" x14ac:dyDescent="0.25">
      <c r="B49" s="20" t="s">
        <v>66</v>
      </c>
      <c r="C49" s="26">
        <v>2256</v>
      </c>
      <c r="D49" s="17">
        <v>411223</v>
      </c>
    </row>
    <row r="50" spans="2:4" outlineLevel="2" x14ac:dyDescent="0.25">
      <c r="B50" s="20" t="s">
        <v>66</v>
      </c>
      <c r="C50" s="26">
        <v>9874</v>
      </c>
      <c r="D50" s="17">
        <v>411244</v>
      </c>
    </row>
    <row r="51" spans="2:4" outlineLevel="2" x14ac:dyDescent="0.25">
      <c r="B51" s="20" t="s">
        <v>66</v>
      </c>
      <c r="C51" s="26">
        <v>5555</v>
      </c>
      <c r="D51" s="17">
        <v>221412</v>
      </c>
    </row>
    <row r="52" spans="2:4" outlineLevel="2" x14ac:dyDescent="0.25">
      <c r="B52" s="20" t="s">
        <v>66</v>
      </c>
      <c r="C52" s="27">
        <v>22251</v>
      </c>
      <c r="D52" s="19">
        <v>21555</v>
      </c>
    </row>
    <row r="53" spans="2:4" outlineLevel="2" x14ac:dyDescent="0.25">
      <c r="B53" s="20" t="s">
        <v>66</v>
      </c>
      <c r="C53" s="27">
        <v>19852</v>
      </c>
      <c r="D53" s="19">
        <v>15452</v>
      </c>
    </row>
    <row r="54" spans="2:4" outlineLevel="2" x14ac:dyDescent="0.25">
      <c r="B54" s="20" t="s">
        <v>66</v>
      </c>
      <c r="C54" s="27">
        <v>48963</v>
      </c>
      <c r="D54" s="19">
        <v>256314</v>
      </c>
    </row>
    <row r="55" spans="2:4" outlineLevel="2" x14ac:dyDescent="0.25">
      <c r="B55" s="20" t="s">
        <v>66</v>
      </c>
      <c r="C55" s="26">
        <v>14411</v>
      </c>
      <c r="D55" s="17">
        <v>115474</v>
      </c>
    </row>
    <row r="56" spans="2:4" outlineLevel="1" x14ac:dyDescent="0.25">
      <c r="B56" s="101" t="s">
        <v>67</v>
      </c>
      <c r="C56" s="26">
        <f>SUBTOTAL(9,C49:C55)</f>
        <v>123162</v>
      </c>
      <c r="D56" s="17"/>
    </row>
    <row r="57" spans="2:4" outlineLevel="2" x14ac:dyDescent="0.25">
      <c r="B57" s="20" t="s">
        <v>68</v>
      </c>
      <c r="C57" s="26">
        <v>142987</v>
      </c>
      <c r="D57" s="17">
        <v>114212</v>
      </c>
    </row>
    <row r="58" spans="2:4" outlineLevel="2" x14ac:dyDescent="0.25">
      <c r="B58" s="20" t="s">
        <v>68</v>
      </c>
      <c r="C58" s="26">
        <v>52698</v>
      </c>
      <c r="D58" s="17">
        <v>256332</v>
      </c>
    </row>
    <row r="59" spans="2:4" outlineLevel="2" x14ac:dyDescent="0.25">
      <c r="B59" s="20" t="s">
        <v>68</v>
      </c>
      <c r="C59" s="26">
        <v>45678</v>
      </c>
      <c r="D59" s="17">
        <v>215211</v>
      </c>
    </row>
    <row r="60" spans="2:4" outlineLevel="2" x14ac:dyDescent="0.25">
      <c r="B60" s="20" t="s">
        <v>68</v>
      </c>
      <c r="C60" s="26">
        <v>12526</v>
      </c>
      <c r="D60" s="17">
        <v>225148</v>
      </c>
    </row>
    <row r="61" spans="2:4" outlineLevel="2" x14ac:dyDescent="0.25">
      <c r="B61" s="20" t="s">
        <v>68</v>
      </c>
      <c r="C61" s="26">
        <v>23456</v>
      </c>
      <c r="D61" s="17">
        <v>256984</v>
      </c>
    </row>
    <row r="62" spans="2:4" outlineLevel="1" x14ac:dyDescent="0.25">
      <c r="B62" s="101" t="s">
        <v>69</v>
      </c>
      <c r="C62" s="26">
        <f>SUBTOTAL(9,C57:C61)</f>
        <v>277345</v>
      </c>
      <c r="D62" s="17"/>
    </row>
    <row r="63" spans="2:4" outlineLevel="2" x14ac:dyDescent="0.25">
      <c r="B63" s="20" t="s">
        <v>70</v>
      </c>
      <c r="C63" s="26">
        <v>97654</v>
      </c>
      <c r="D63" s="17">
        <v>112154</v>
      </c>
    </row>
    <row r="64" spans="2:4" outlineLevel="2" x14ac:dyDescent="0.25">
      <c r="B64" s="20" t="s">
        <v>70</v>
      </c>
      <c r="C64" s="26">
        <v>56789</v>
      </c>
      <c r="D64" s="17">
        <v>248963</v>
      </c>
    </row>
    <row r="65" spans="2:4" outlineLevel="2" x14ac:dyDescent="0.25">
      <c r="B65" s="20" t="s">
        <v>70</v>
      </c>
      <c r="C65" s="26">
        <v>36987</v>
      </c>
      <c r="D65" s="17">
        <v>256489</v>
      </c>
    </row>
    <row r="66" spans="2:4" outlineLevel="2" x14ac:dyDescent="0.25">
      <c r="B66" s="20" t="s">
        <v>70</v>
      </c>
      <c r="C66" s="26">
        <v>123456</v>
      </c>
      <c r="D66" s="17">
        <v>122536</v>
      </c>
    </row>
    <row r="67" spans="2:4" outlineLevel="2" x14ac:dyDescent="0.25">
      <c r="B67" s="20" t="s">
        <v>70</v>
      </c>
      <c r="C67" s="26">
        <v>25859</v>
      </c>
      <c r="D67" s="17">
        <v>568854</v>
      </c>
    </row>
    <row r="68" spans="2:4" outlineLevel="2" x14ac:dyDescent="0.25">
      <c r="B68" s="20" t="s">
        <v>70</v>
      </c>
      <c r="C68" s="26">
        <v>17896</v>
      </c>
      <c r="D68" s="17">
        <v>556352</v>
      </c>
    </row>
    <row r="69" spans="2:4" outlineLevel="2" x14ac:dyDescent="0.25">
      <c r="B69" s="20" t="s">
        <v>70</v>
      </c>
      <c r="C69" s="26">
        <v>49076</v>
      </c>
      <c r="D69" s="17">
        <v>552854</v>
      </c>
    </row>
    <row r="70" spans="2:4" outlineLevel="2" x14ac:dyDescent="0.25">
      <c r="B70" s="20" t="s">
        <v>70</v>
      </c>
      <c r="C70" s="26">
        <v>28965</v>
      </c>
      <c r="D70" s="17">
        <v>122525</v>
      </c>
    </row>
    <row r="71" spans="2:4" outlineLevel="2" x14ac:dyDescent="0.25">
      <c r="B71" s="20" t="s">
        <v>70</v>
      </c>
      <c r="C71" s="26">
        <v>36985</v>
      </c>
      <c r="D71" s="17">
        <v>241221</v>
      </c>
    </row>
    <row r="72" spans="2:4" outlineLevel="1" x14ac:dyDescent="0.25">
      <c r="B72" s="101" t="s">
        <v>71</v>
      </c>
      <c r="C72" s="26">
        <f>SUBTOTAL(9,C63:C71)</f>
        <v>473667</v>
      </c>
      <c r="D72" s="17"/>
    </row>
    <row r="73" spans="2:4" outlineLevel="2" x14ac:dyDescent="0.25">
      <c r="B73" s="20" t="s">
        <v>72</v>
      </c>
      <c r="C73" s="26">
        <v>45632</v>
      </c>
      <c r="D73" s="17">
        <v>656254</v>
      </c>
    </row>
    <row r="74" spans="2:4" outlineLevel="2" x14ac:dyDescent="0.25">
      <c r="B74" s="20" t="s">
        <v>72</v>
      </c>
      <c r="C74" s="26">
        <v>24896</v>
      </c>
      <c r="D74" s="17">
        <v>654101</v>
      </c>
    </row>
    <row r="75" spans="2:4" outlineLevel="2" x14ac:dyDescent="0.25">
      <c r="B75" s="20" t="s">
        <v>72</v>
      </c>
      <c r="C75" s="26">
        <v>17596</v>
      </c>
      <c r="D75" s="17">
        <v>556652</v>
      </c>
    </row>
    <row r="76" spans="2:4" outlineLevel="2" x14ac:dyDescent="0.25">
      <c r="B76" s="20" t="s">
        <v>72</v>
      </c>
      <c r="C76" s="26">
        <v>5698</v>
      </c>
      <c r="D76" s="17">
        <v>454541</v>
      </c>
    </row>
    <row r="77" spans="2:4" outlineLevel="2" x14ac:dyDescent="0.25">
      <c r="B77" s="20" t="s">
        <v>72</v>
      </c>
      <c r="C77" s="26">
        <v>9865</v>
      </c>
      <c r="D77" s="17">
        <v>322221</v>
      </c>
    </row>
    <row r="78" spans="2:4" outlineLevel="2" x14ac:dyDescent="0.25">
      <c r="B78" s="20" t="s">
        <v>72</v>
      </c>
      <c r="C78" s="26">
        <v>12365</v>
      </c>
      <c r="D78" s="17">
        <v>256544</v>
      </c>
    </row>
    <row r="79" spans="2:4" outlineLevel="2" x14ac:dyDescent="0.25">
      <c r="B79" s="20" t="s">
        <v>72</v>
      </c>
      <c r="C79" s="26">
        <v>12124</v>
      </c>
      <c r="D79" s="17">
        <v>561121</v>
      </c>
    </row>
    <row r="80" spans="2:4" outlineLevel="2" x14ac:dyDescent="0.25">
      <c r="B80" s="20" t="s">
        <v>72</v>
      </c>
      <c r="C80" s="26">
        <v>18965</v>
      </c>
      <c r="D80" s="17">
        <v>574544</v>
      </c>
    </row>
    <row r="81" spans="2:6" outlineLevel="2" x14ac:dyDescent="0.25">
      <c r="B81" s="20" t="s">
        <v>72</v>
      </c>
      <c r="C81" s="26">
        <v>21145</v>
      </c>
      <c r="D81" s="17">
        <v>157445</v>
      </c>
    </row>
    <row r="82" spans="2:6" outlineLevel="1" x14ac:dyDescent="0.25">
      <c r="B82" s="101" t="s">
        <v>73</v>
      </c>
      <c r="C82" s="26">
        <f>SUBTOTAL(9,C73:C81)</f>
        <v>168286</v>
      </c>
      <c r="D82" s="17"/>
    </row>
    <row r="83" spans="2:6" outlineLevel="2" x14ac:dyDescent="0.25">
      <c r="B83" s="20" t="s">
        <v>74</v>
      </c>
      <c r="C83" s="26">
        <v>14545</v>
      </c>
      <c r="D83" s="17">
        <v>111522</v>
      </c>
    </row>
    <row r="84" spans="2:6" outlineLevel="2" x14ac:dyDescent="0.25">
      <c r="B84" s="20" t="s">
        <v>74</v>
      </c>
      <c r="C84" s="26">
        <v>12566</v>
      </c>
      <c r="D84" s="17">
        <v>112235</v>
      </c>
    </row>
    <row r="85" spans="2:6" outlineLevel="2" x14ac:dyDescent="0.25">
      <c r="B85" s="20" t="s">
        <v>74</v>
      </c>
      <c r="C85" s="26">
        <v>17854</v>
      </c>
      <c r="D85" s="17">
        <v>211142</v>
      </c>
      <c r="F85" s="22"/>
    </row>
    <row r="86" spans="2:6" outlineLevel="2" x14ac:dyDescent="0.25">
      <c r="B86" s="20" t="s">
        <v>74</v>
      </c>
      <c r="C86" s="26">
        <v>19325</v>
      </c>
      <c r="D86" s="17">
        <v>211331</v>
      </c>
    </row>
    <row r="87" spans="2:6" outlineLevel="2" x14ac:dyDescent="0.25">
      <c r="B87" s="20" t="s">
        <v>74</v>
      </c>
      <c r="C87" s="26">
        <v>16544</v>
      </c>
      <c r="D87" s="17">
        <v>654122</v>
      </c>
    </row>
    <row r="88" spans="2:6" outlineLevel="2" x14ac:dyDescent="0.25">
      <c r="B88" s="20" t="s">
        <v>74</v>
      </c>
      <c r="C88" s="26">
        <v>25632</v>
      </c>
      <c r="D88" s="17">
        <v>565213</v>
      </c>
    </row>
    <row r="89" spans="2:6" outlineLevel="1" x14ac:dyDescent="0.25">
      <c r="B89" s="101" t="s">
        <v>75</v>
      </c>
      <c r="C89" s="26">
        <f>SUBTOTAL(9,C83:C88)</f>
        <v>106466</v>
      </c>
      <c r="D89" s="17"/>
    </row>
    <row r="90" spans="2:6" outlineLevel="2" x14ac:dyDescent="0.25">
      <c r="B90" s="20" t="s">
        <v>76</v>
      </c>
      <c r="C90" s="26">
        <v>14567</v>
      </c>
      <c r="D90" s="17">
        <v>263589</v>
      </c>
    </row>
    <row r="91" spans="2:6" outlineLevel="2" x14ac:dyDescent="0.25">
      <c r="B91" s="20" t="s">
        <v>76</v>
      </c>
      <c r="C91" s="26">
        <v>38763</v>
      </c>
      <c r="D91" s="17">
        <v>126655</v>
      </c>
    </row>
    <row r="92" spans="2:6" outlineLevel="2" x14ac:dyDescent="0.25">
      <c r="B92" s="20" t="s">
        <v>76</v>
      </c>
      <c r="C92" s="26">
        <v>14552</v>
      </c>
      <c r="D92" s="21">
        <v>122636</v>
      </c>
    </row>
    <row r="93" spans="2:6" outlineLevel="2" x14ac:dyDescent="0.25">
      <c r="B93" s="20" t="s">
        <v>76</v>
      </c>
      <c r="C93" s="26">
        <v>34567</v>
      </c>
      <c r="D93" s="21">
        <v>156636</v>
      </c>
    </row>
    <row r="94" spans="2:6" outlineLevel="2" x14ac:dyDescent="0.25">
      <c r="B94" s="20" t="s">
        <v>76</v>
      </c>
      <c r="C94" s="26">
        <v>76889</v>
      </c>
      <c r="D94" s="17">
        <v>141252</v>
      </c>
    </row>
    <row r="95" spans="2:6" outlineLevel="2" x14ac:dyDescent="0.25">
      <c r="B95" s="20" t="s">
        <v>76</v>
      </c>
      <c r="C95" s="26">
        <v>34324</v>
      </c>
      <c r="D95" s="17">
        <v>225412</v>
      </c>
    </row>
    <row r="96" spans="2:6" outlineLevel="2" x14ac:dyDescent="0.25">
      <c r="B96" s="20" t="s">
        <v>76</v>
      </c>
      <c r="C96" s="26">
        <v>19976</v>
      </c>
      <c r="D96" s="17">
        <v>365212</v>
      </c>
    </row>
    <row r="97" spans="2:4" outlineLevel="1" x14ac:dyDescent="0.25">
      <c r="B97" s="101" t="s">
        <v>77</v>
      </c>
      <c r="C97" s="26">
        <f>SUBTOTAL(9,C90:C96)</f>
        <v>233638</v>
      </c>
      <c r="D97" s="17"/>
    </row>
    <row r="98" spans="2:4" outlineLevel="2" x14ac:dyDescent="0.25">
      <c r="B98" s="20" t="s">
        <v>78</v>
      </c>
      <c r="C98" s="26">
        <v>115567</v>
      </c>
      <c r="D98" s="17">
        <v>114522</v>
      </c>
    </row>
    <row r="99" spans="2:4" outlineLevel="2" x14ac:dyDescent="0.25">
      <c r="B99" s="20" t="s">
        <v>78</v>
      </c>
      <c r="C99" s="26">
        <v>98756</v>
      </c>
      <c r="D99" s="17">
        <v>655654</v>
      </c>
    </row>
    <row r="100" spans="2:4" outlineLevel="2" x14ac:dyDescent="0.25">
      <c r="B100" s="20" t="s">
        <v>78</v>
      </c>
      <c r="C100" s="26">
        <v>56789</v>
      </c>
      <c r="D100" s="17">
        <v>112554</v>
      </c>
    </row>
    <row r="101" spans="2:4" outlineLevel="2" x14ac:dyDescent="0.25">
      <c r="B101" s="20" t="s">
        <v>78</v>
      </c>
      <c r="C101" s="26">
        <v>65456</v>
      </c>
      <c r="D101" s="17">
        <v>663541</v>
      </c>
    </row>
    <row r="102" spans="2:4" outlineLevel="2" x14ac:dyDescent="0.25">
      <c r="B102" s="20" t="s">
        <v>78</v>
      </c>
      <c r="C102" s="26">
        <v>36789</v>
      </c>
      <c r="D102" s="17">
        <v>211122</v>
      </c>
    </row>
    <row r="103" spans="2:4" outlineLevel="2" x14ac:dyDescent="0.25">
      <c r="B103" s="20" t="s">
        <v>78</v>
      </c>
      <c r="C103" s="26">
        <v>65467</v>
      </c>
      <c r="D103" s="17">
        <v>226541</v>
      </c>
    </row>
    <row r="104" spans="2:4" outlineLevel="2" x14ac:dyDescent="0.25">
      <c r="B104" s="20" t="s">
        <v>78</v>
      </c>
      <c r="C104" s="26">
        <v>23456</v>
      </c>
      <c r="D104" s="17">
        <v>541141</v>
      </c>
    </row>
    <row r="105" spans="2:4" outlineLevel="2" x14ac:dyDescent="0.25">
      <c r="B105" s="20" t="s">
        <v>78</v>
      </c>
      <c r="C105" s="26">
        <v>54322</v>
      </c>
      <c r="D105" s="17">
        <v>522151</v>
      </c>
    </row>
    <row r="106" spans="2:4" outlineLevel="1" x14ac:dyDescent="0.25">
      <c r="B106" s="101" t="s">
        <v>79</v>
      </c>
      <c r="C106" s="26">
        <f>SUBTOTAL(9,C98:C105)</f>
        <v>516602</v>
      </c>
      <c r="D106" s="17"/>
    </row>
    <row r="107" spans="2:4" outlineLevel="2" x14ac:dyDescent="0.25">
      <c r="B107" s="20" t="s">
        <v>80</v>
      </c>
      <c r="C107" s="26">
        <v>14585</v>
      </c>
      <c r="D107" s="21">
        <v>511152</v>
      </c>
    </row>
    <row r="108" spans="2:4" outlineLevel="2" x14ac:dyDescent="0.25">
      <c r="B108" s="20" t="s">
        <v>80</v>
      </c>
      <c r="C108" s="26">
        <v>9876</v>
      </c>
      <c r="D108" s="21">
        <v>656252</v>
      </c>
    </row>
    <row r="109" spans="2:4" outlineLevel="2" x14ac:dyDescent="0.25">
      <c r="B109" s="20" t="s">
        <v>80</v>
      </c>
      <c r="C109" s="26">
        <v>6754</v>
      </c>
      <c r="D109" s="21">
        <v>422112</v>
      </c>
    </row>
    <row r="110" spans="2:4" outlineLevel="2" x14ac:dyDescent="0.25">
      <c r="B110" s="20" t="s">
        <v>80</v>
      </c>
      <c r="C110" s="26">
        <v>3456</v>
      </c>
      <c r="D110" s="17">
        <v>212221</v>
      </c>
    </row>
    <row r="111" spans="2:4" outlineLevel="1" x14ac:dyDescent="0.25">
      <c r="B111" s="101" t="s">
        <v>81</v>
      </c>
      <c r="C111" s="26">
        <f>SUBTOTAL(9,C107:C110)</f>
        <v>34671</v>
      </c>
      <c r="D111" s="17"/>
    </row>
    <row r="112" spans="2:4" outlineLevel="2" x14ac:dyDescent="0.25">
      <c r="B112" s="20" t="s">
        <v>82</v>
      </c>
      <c r="C112" s="26">
        <v>45678</v>
      </c>
      <c r="D112" s="17">
        <v>332211</v>
      </c>
    </row>
    <row r="113" spans="2:4" outlineLevel="2" x14ac:dyDescent="0.25">
      <c r="B113" s="20" t="s">
        <v>82</v>
      </c>
      <c r="C113" s="26">
        <v>32456</v>
      </c>
      <c r="D113" s="17">
        <v>445643</v>
      </c>
    </row>
    <row r="114" spans="2:4" outlineLevel="2" x14ac:dyDescent="0.25">
      <c r="B114" s="20" t="s">
        <v>82</v>
      </c>
      <c r="C114" s="26">
        <v>12347</v>
      </c>
      <c r="D114" s="17">
        <v>754455</v>
      </c>
    </row>
    <row r="115" spans="2:4" outlineLevel="2" x14ac:dyDescent="0.25">
      <c r="B115" s="20" t="s">
        <v>82</v>
      </c>
      <c r="C115" s="26">
        <v>97900</v>
      </c>
      <c r="D115" s="17">
        <v>654766</v>
      </c>
    </row>
    <row r="116" spans="2:4" outlineLevel="2" x14ac:dyDescent="0.25">
      <c r="B116" s="20" t="s">
        <v>82</v>
      </c>
      <c r="C116" s="26">
        <v>13456</v>
      </c>
      <c r="D116" s="17">
        <v>768543</v>
      </c>
    </row>
    <row r="117" spans="2:4" outlineLevel="2" x14ac:dyDescent="0.25">
      <c r="B117" s="20" t="s">
        <v>82</v>
      </c>
      <c r="C117" s="26">
        <v>78954</v>
      </c>
      <c r="D117" s="17">
        <v>343456</v>
      </c>
    </row>
    <row r="118" spans="2:4" outlineLevel="1" x14ac:dyDescent="0.25">
      <c r="B118" s="101" t="s">
        <v>83</v>
      </c>
      <c r="C118" s="26">
        <f>SUBTOTAL(9,C112:C117)</f>
        <v>280791</v>
      </c>
      <c r="D118" s="17"/>
    </row>
    <row r="119" spans="2:4" outlineLevel="2" x14ac:dyDescent="0.25">
      <c r="B119" s="20" t="s">
        <v>84</v>
      </c>
      <c r="C119" s="26">
        <v>16789</v>
      </c>
      <c r="D119" s="17">
        <v>552111</v>
      </c>
    </row>
    <row r="120" spans="2:4" outlineLevel="2" x14ac:dyDescent="0.25">
      <c r="B120" s="20" t="s">
        <v>84</v>
      </c>
      <c r="C120" s="26">
        <v>56789</v>
      </c>
      <c r="D120" s="17">
        <v>256332</v>
      </c>
    </row>
    <row r="121" spans="2:4" outlineLevel="2" x14ac:dyDescent="0.25">
      <c r="B121" s="20" t="s">
        <v>84</v>
      </c>
      <c r="C121" s="26">
        <v>23456</v>
      </c>
      <c r="D121" s="17">
        <v>554232</v>
      </c>
    </row>
    <row r="122" spans="2:4" outlineLevel="2" x14ac:dyDescent="0.25">
      <c r="B122" s="20" t="s">
        <v>84</v>
      </c>
      <c r="C122" s="26">
        <v>65432</v>
      </c>
      <c r="D122" s="17">
        <v>455524</v>
      </c>
    </row>
    <row r="123" spans="2:4" outlineLevel="2" x14ac:dyDescent="0.25">
      <c r="B123" s="20" t="s">
        <v>84</v>
      </c>
      <c r="C123" s="26">
        <v>21234</v>
      </c>
      <c r="D123" s="17">
        <v>556321</v>
      </c>
    </row>
    <row r="124" spans="2:4" outlineLevel="2" x14ac:dyDescent="0.25">
      <c r="B124" s="20" t="s">
        <v>84</v>
      </c>
      <c r="C124" s="26">
        <v>11224</v>
      </c>
      <c r="D124" s="17">
        <v>541255</v>
      </c>
    </row>
    <row r="125" spans="2:4" outlineLevel="1" x14ac:dyDescent="0.25">
      <c r="B125" s="101" t="s">
        <v>85</v>
      </c>
      <c r="C125" s="26">
        <f>SUBTOTAL(9,C119:C124)</f>
        <v>194924</v>
      </c>
      <c r="D125" s="17"/>
    </row>
    <row r="126" spans="2:4" outlineLevel="2" x14ac:dyDescent="0.25">
      <c r="B126" s="20" t="s">
        <v>86</v>
      </c>
      <c r="C126" s="26">
        <v>17525</v>
      </c>
      <c r="D126" s="17">
        <v>526321</v>
      </c>
    </row>
    <row r="127" spans="2:4" outlineLevel="2" x14ac:dyDescent="0.25">
      <c r="B127" s="20" t="s">
        <v>86</v>
      </c>
      <c r="C127" s="26">
        <v>25983</v>
      </c>
      <c r="D127" s="17">
        <v>565121</v>
      </c>
    </row>
    <row r="128" spans="2:4" outlineLevel="2" x14ac:dyDescent="0.25">
      <c r="B128" s="20" t="s">
        <v>86</v>
      </c>
      <c r="C128" s="26">
        <v>56662</v>
      </c>
      <c r="D128" s="17">
        <v>231566</v>
      </c>
    </row>
    <row r="129" spans="2:4" outlineLevel="2" x14ac:dyDescent="0.25">
      <c r="B129" s="20" t="s">
        <v>86</v>
      </c>
      <c r="C129" s="26">
        <v>66523</v>
      </c>
      <c r="D129" s="17">
        <v>366544</v>
      </c>
    </row>
    <row r="130" spans="2:4" outlineLevel="2" x14ac:dyDescent="0.25">
      <c r="B130" s="20" t="s">
        <v>86</v>
      </c>
      <c r="C130" s="26">
        <v>89652</v>
      </c>
      <c r="D130" s="17">
        <v>662354</v>
      </c>
    </row>
    <row r="131" spans="2:4" outlineLevel="2" x14ac:dyDescent="0.25">
      <c r="B131" s="20" t="s">
        <v>86</v>
      </c>
      <c r="C131" s="26">
        <v>23365</v>
      </c>
      <c r="D131" s="17">
        <v>665522</v>
      </c>
    </row>
    <row r="132" spans="2:4" outlineLevel="2" x14ac:dyDescent="0.25">
      <c r="B132" s="20" t="s">
        <v>86</v>
      </c>
      <c r="C132" s="26">
        <v>36985</v>
      </c>
      <c r="D132" s="21">
        <v>668523</v>
      </c>
    </row>
    <row r="133" spans="2:4" outlineLevel="2" x14ac:dyDescent="0.25">
      <c r="B133" s="20" t="s">
        <v>86</v>
      </c>
      <c r="C133" s="26">
        <v>56635</v>
      </c>
      <c r="D133" s="17">
        <v>555441</v>
      </c>
    </row>
    <row r="134" spans="2:4" outlineLevel="1" x14ac:dyDescent="0.25">
      <c r="B134" s="101" t="s">
        <v>87</v>
      </c>
      <c r="C134" s="26">
        <f>SUBTOTAL(9,C126:C133)</f>
        <v>373330</v>
      </c>
      <c r="D134" s="17"/>
    </row>
    <row r="135" spans="2:4" outlineLevel="2" x14ac:dyDescent="0.25">
      <c r="B135" s="20" t="s">
        <v>88</v>
      </c>
      <c r="C135" s="26">
        <v>113456</v>
      </c>
      <c r="D135" s="17">
        <v>122000</v>
      </c>
    </row>
    <row r="136" spans="2:4" outlineLevel="2" x14ac:dyDescent="0.25">
      <c r="B136" s="20" t="s">
        <v>88</v>
      </c>
      <c r="C136" s="26">
        <v>97654</v>
      </c>
      <c r="D136" s="17">
        <v>454545</v>
      </c>
    </row>
    <row r="137" spans="2:4" outlineLevel="2" x14ac:dyDescent="0.25">
      <c r="B137" s="20" t="s">
        <v>88</v>
      </c>
      <c r="C137" s="26">
        <v>22234</v>
      </c>
      <c r="D137" s="17">
        <v>565544</v>
      </c>
    </row>
    <row r="138" spans="2:4" outlineLevel="2" x14ac:dyDescent="0.25">
      <c r="B138" s="20" t="s">
        <v>88</v>
      </c>
      <c r="C138" s="26">
        <v>33456</v>
      </c>
      <c r="D138" s="17">
        <v>556441</v>
      </c>
    </row>
    <row r="139" spans="2:4" outlineLevel="2" x14ac:dyDescent="0.25">
      <c r="B139" s="20" t="s">
        <v>88</v>
      </c>
      <c r="C139" s="26">
        <v>35872</v>
      </c>
      <c r="D139" s="17">
        <v>556544</v>
      </c>
    </row>
    <row r="140" spans="2:4" outlineLevel="2" x14ac:dyDescent="0.25">
      <c r="B140" s="20" t="s">
        <v>88</v>
      </c>
      <c r="C140" s="26">
        <v>25893</v>
      </c>
      <c r="D140" s="17">
        <v>122533</v>
      </c>
    </row>
    <row r="141" spans="2:4" ht="15.75" outlineLevel="2" thickBot="1" x14ac:dyDescent="0.3">
      <c r="B141" s="23" t="s">
        <v>88</v>
      </c>
      <c r="C141" s="28">
        <v>65891</v>
      </c>
      <c r="D141" s="24">
        <v>125221</v>
      </c>
    </row>
    <row r="142" spans="2:4" outlineLevel="1" x14ac:dyDescent="0.25">
      <c r="B142" s="104" t="s">
        <v>89</v>
      </c>
      <c r="C142" s="102">
        <f>SUBTOTAL(9,C135:C141)</f>
        <v>394456</v>
      </c>
      <c r="D142" s="103"/>
    </row>
    <row r="143" spans="2:4" x14ac:dyDescent="0.25">
      <c r="B143" s="104" t="s">
        <v>90</v>
      </c>
      <c r="C143" s="102">
        <f>SUBTOTAL(9,C11:C141)</f>
        <v>4115174.3</v>
      </c>
      <c r="D143" s="103"/>
    </row>
  </sheetData>
  <mergeCells count="1">
    <mergeCell ref="B8:D8"/>
  </mergeCells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Plan4"/>
  <dimension ref="B1:N125"/>
  <sheetViews>
    <sheetView showGridLines="0" topLeftCell="A5" workbookViewId="0">
      <selection activeCell="J12" sqref="J12"/>
    </sheetView>
  </sheetViews>
  <sheetFormatPr defaultRowHeight="15" x14ac:dyDescent="0.25"/>
  <cols>
    <col min="1" max="1" width="3.7109375" customWidth="1"/>
    <col min="2" max="4" width="22" customWidth="1"/>
    <col min="6" max="6" width="25.28515625" customWidth="1"/>
    <col min="7" max="7" width="21.85546875" customWidth="1"/>
  </cols>
  <sheetData>
    <row r="1" spans="2:14" ht="11.25" customHeight="1" x14ac:dyDescent="0.25"/>
    <row r="3" spans="2:14" x14ac:dyDescent="0.25">
      <c r="F3" s="36" t="s">
        <v>91</v>
      </c>
    </row>
    <row r="4" spans="2:14" x14ac:dyDescent="0.25">
      <c r="F4" s="36" t="s">
        <v>92</v>
      </c>
    </row>
    <row r="6" spans="2:14" x14ac:dyDescent="0.25">
      <c r="N6" s="59"/>
    </row>
    <row r="7" spans="2:14" ht="15.75" thickBot="1" x14ac:dyDescent="0.3"/>
    <row r="8" spans="2:14" ht="16.5" thickBot="1" x14ac:dyDescent="0.3">
      <c r="B8" s="188" t="s">
        <v>93</v>
      </c>
      <c r="C8" s="189"/>
      <c r="D8" s="189"/>
      <c r="F8" s="188" t="s">
        <v>94</v>
      </c>
      <c r="G8" s="190"/>
    </row>
    <row r="9" spans="2:14" ht="8.25" customHeight="1" thickBot="1" x14ac:dyDescent="0.3">
      <c r="G9" s="13"/>
    </row>
    <row r="10" spans="2:14" ht="15.75" thickBot="1" x14ac:dyDescent="0.3">
      <c r="B10" s="67" t="s">
        <v>53</v>
      </c>
      <c r="C10" s="68" t="s">
        <v>54</v>
      </c>
      <c r="D10" s="67" t="s">
        <v>55</v>
      </c>
      <c r="F10" s="67" t="s">
        <v>53</v>
      </c>
      <c r="G10" s="69" t="s">
        <v>95</v>
      </c>
    </row>
    <row r="11" spans="2:14" x14ac:dyDescent="0.25">
      <c r="B11" s="15" t="s">
        <v>56</v>
      </c>
      <c r="C11" s="25">
        <v>34856</v>
      </c>
      <c r="D11" s="16">
        <v>565544</v>
      </c>
      <c r="F11" s="15" t="s">
        <v>56</v>
      </c>
      <c r="G11" s="29">
        <v>20371.400000000001</v>
      </c>
      <c r="H11" s="70"/>
    </row>
    <row r="12" spans="2:14" x14ac:dyDescent="0.25">
      <c r="B12" s="15" t="s">
        <v>56</v>
      </c>
      <c r="C12" s="26">
        <v>25221</v>
      </c>
      <c r="D12" s="17">
        <v>45214</v>
      </c>
      <c r="F12" s="18" t="s">
        <v>58</v>
      </c>
      <c r="G12" s="30">
        <v>34338.125</v>
      </c>
      <c r="H12" s="70"/>
    </row>
    <row r="13" spans="2:14" x14ac:dyDescent="0.25">
      <c r="B13" s="15" t="s">
        <v>56</v>
      </c>
      <c r="C13" s="26">
        <v>9857</v>
      </c>
      <c r="D13" s="17">
        <v>225663</v>
      </c>
      <c r="F13" s="20" t="s">
        <v>60</v>
      </c>
      <c r="G13" s="30">
        <v>18252.166666666668</v>
      </c>
      <c r="H13" s="70"/>
    </row>
    <row r="14" spans="2:14" x14ac:dyDescent="0.25">
      <c r="B14" s="15" t="s">
        <v>56</v>
      </c>
      <c r="C14" s="26">
        <v>22336</v>
      </c>
      <c r="D14" s="17">
        <v>253654</v>
      </c>
      <c r="F14" s="20" t="s">
        <v>62</v>
      </c>
      <c r="G14" s="30">
        <v>32073.883333333331</v>
      </c>
      <c r="H14" s="70"/>
    </row>
    <row r="15" spans="2:14" x14ac:dyDescent="0.25">
      <c r="B15" s="15" t="s">
        <v>56</v>
      </c>
      <c r="C15" s="26">
        <v>9587</v>
      </c>
      <c r="D15" s="17">
        <v>896542</v>
      </c>
      <c r="F15" s="20" t="s">
        <v>64</v>
      </c>
      <c r="G15" s="30">
        <v>32414.75</v>
      </c>
      <c r="H15" s="70"/>
    </row>
    <row r="16" spans="2:14" x14ac:dyDescent="0.25">
      <c r="B16" s="18" t="s">
        <v>58</v>
      </c>
      <c r="C16" s="27">
        <v>9852</v>
      </c>
      <c r="D16" s="19">
        <v>12544</v>
      </c>
      <c r="F16" s="18" t="s">
        <v>66</v>
      </c>
      <c r="G16" s="31">
        <v>17594.571428571428</v>
      </c>
      <c r="H16" s="70"/>
    </row>
    <row r="17" spans="2:8" x14ac:dyDescent="0.25">
      <c r="B17" s="18" t="s">
        <v>58</v>
      </c>
      <c r="C17" s="27">
        <v>11125</v>
      </c>
      <c r="D17" s="19">
        <v>25413</v>
      </c>
      <c r="F17" s="18" t="s">
        <v>68</v>
      </c>
      <c r="G17" s="31">
        <v>55469</v>
      </c>
      <c r="H17" s="70"/>
    </row>
    <row r="18" spans="2:8" x14ac:dyDescent="0.25">
      <c r="B18" s="18" t="s">
        <v>58</v>
      </c>
      <c r="C18" s="26">
        <v>32556</v>
      </c>
      <c r="D18" s="17">
        <v>44474</v>
      </c>
      <c r="F18" s="18" t="s">
        <v>70</v>
      </c>
      <c r="G18" s="30">
        <v>52629.666666666664</v>
      </c>
      <c r="H18" s="70"/>
    </row>
    <row r="19" spans="2:8" x14ac:dyDescent="0.25">
      <c r="B19" s="18" t="s">
        <v>58</v>
      </c>
      <c r="C19" s="26">
        <v>45201</v>
      </c>
      <c r="D19" s="17">
        <v>142122</v>
      </c>
      <c r="F19" s="18" t="s">
        <v>72</v>
      </c>
      <c r="G19" s="30">
        <v>18698.444444444445</v>
      </c>
      <c r="H19" s="70"/>
    </row>
    <row r="20" spans="2:8" x14ac:dyDescent="0.25">
      <c r="B20" s="18" t="s">
        <v>58</v>
      </c>
      <c r="C20" s="26">
        <v>36982</v>
      </c>
      <c r="D20" s="17">
        <v>112253</v>
      </c>
      <c r="F20" s="18" t="s">
        <v>74</v>
      </c>
      <c r="G20" s="30">
        <v>17744.333333333332</v>
      </c>
      <c r="H20" s="70"/>
    </row>
    <row r="21" spans="2:8" x14ac:dyDescent="0.25">
      <c r="B21" s="18" t="s">
        <v>58</v>
      </c>
      <c r="C21" s="26">
        <v>41145</v>
      </c>
      <c r="D21" s="17">
        <v>121217</v>
      </c>
      <c r="F21" s="18" t="s">
        <v>76</v>
      </c>
      <c r="G21" s="30">
        <v>33376.857142857145</v>
      </c>
      <c r="H21" s="70"/>
    </row>
    <row r="22" spans="2:8" x14ac:dyDescent="0.25">
      <c r="B22" s="18" t="s">
        <v>58</v>
      </c>
      <c r="C22" s="26">
        <v>56632</v>
      </c>
      <c r="D22" s="17">
        <v>655554</v>
      </c>
      <c r="F22" s="18" t="s">
        <v>78</v>
      </c>
      <c r="G22" s="30">
        <v>64575.25</v>
      </c>
      <c r="H22" s="70"/>
    </row>
    <row r="23" spans="2:8" x14ac:dyDescent="0.25">
      <c r="B23" s="18" t="s">
        <v>58</v>
      </c>
      <c r="C23" s="26">
        <v>41212</v>
      </c>
      <c r="D23" s="17">
        <v>561221</v>
      </c>
      <c r="F23" s="18" t="s">
        <v>80</v>
      </c>
      <c r="G23" s="30">
        <v>8667.75</v>
      </c>
    </row>
    <row r="24" spans="2:8" x14ac:dyDescent="0.25">
      <c r="B24" s="20" t="s">
        <v>60</v>
      </c>
      <c r="C24" s="26">
        <v>19857</v>
      </c>
      <c r="D24" s="17">
        <v>121112</v>
      </c>
      <c r="F24" s="34" t="s">
        <v>82</v>
      </c>
      <c r="G24" s="32">
        <v>46798.5</v>
      </c>
      <c r="H24" s="70"/>
    </row>
    <row r="25" spans="2:8" x14ac:dyDescent="0.25">
      <c r="B25" s="20" t="s">
        <v>60</v>
      </c>
      <c r="C25" s="26">
        <v>11741</v>
      </c>
      <c r="D25" s="17">
        <v>554112</v>
      </c>
      <c r="F25" s="34" t="s">
        <v>84</v>
      </c>
      <c r="G25" s="32">
        <v>32487.333333333332</v>
      </c>
      <c r="H25" s="70"/>
    </row>
    <row r="26" spans="2:8" x14ac:dyDescent="0.25">
      <c r="B26" s="20" t="s">
        <v>60</v>
      </c>
      <c r="C26" s="26">
        <v>22123</v>
      </c>
      <c r="D26" s="17">
        <v>185477</v>
      </c>
      <c r="F26" s="34" t="s">
        <v>86</v>
      </c>
      <c r="G26" s="32">
        <v>46666.25</v>
      </c>
      <c r="H26" s="70"/>
    </row>
    <row r="27" spans="2:8" ht="15.75" thickBot="1" x14ac:dyDescent="0.3">
      <c r="B27" s="20" t="s">
        <v>60</v>
      </c>
      <c r="C27" s="26">
        <v>12365</v>
      </c>
      <c r="D27" s="17">
        <v>211456</v>
      </c>
      <c r="F27" s="35" t="s">
        <v>88</v>
      </c>
      <c r="G27" s="33">
        <v>56350.857142857145</v>
      </c>
      <c r="H27" s="70"/>
    </row>
    <row r="28" spans="2:8" x14ac:dyDescent="0.25">
      <c r="B28" s="20" t="s">
        <v>60</v>
      </c>
      <c r="C28" s="26">
        <v>6442</v>
      </c>
      <c r="D28" s="17">
        <v>121221</v>
      </c>
    </row>
    <row r="29" spans="2:8" x14ac:dyDescent="0.25">
      <c r="B29" s="20" t="s">
        <v>60</v>
      </c>
      <c r="C29" s="26">
        <v>36985</v>
      </c>
      <c r="D29" s="17">
        <v>653222</v>
      </c>
    </row>
    <row r="30" spans="2:8" x14ac:dyDescent="0.25">
      <c r="B30" s="20" t="s">
        <v>62</v>
      </c>
      <c r="C30" s="26">
        <v>1256</v>
      </c>
      <c r="D30" s="17">
        <v>363512</v>
      </c>
    </row>
    <row r="31" spans="2:8" x14ac:dyDescent="0.25">
      <c r="B31" s="20" t="s">
        <v>62</v>
      </c>
      <c r="C31" s="26">
        <v>985</v>
      </c>
      <c r="D31" s="17">
        <v>633221</v>
      </c>
    </row>
    <row r="32" spans="2:8" x14ac:dyDescent="0.25">
      <c r="B32" s="20" t="s">
        <v>62</v>
      </c>
      <c r="C32" s="26">
        <v>46654.22</v>
      </c>
      <c r="D32" s="17">
        <v>545445</v>
      </c>
    </row>
    <row r="33" spans="2:4" x14ac:dyDescent="0.25">
      <c r="B33" s="20" t="s">
        <v>62</v>
      </c>
      <c r="C33" s="26">
        <v>47242.16</v>
      </c>
      <c r="D33" s="17">
        <v>144587</v>
      </c>
    </row>
    <row r="34" spans="2:4" x14ac:dyDescent="0.25">
      <c r="B34" s="20" t="s">
        <v>62</v>
      </c>
      <c r="C34" s="26">
        <v>47885.47</v>
      </c>
      <c r="D34" s="17">
        <v>152214</v>
      </c>
    </row>
    <row r="35" spans="2:4" x14ac:dyDescent="0.25">
      <c r="B35" s="20" t="s">
        <v>62</v>
      </c>
      <c r="C35" s="26">
        <v>48420.45</v>
      </c>
      <c r="D35" s="17">
        <v>155634</v>
      </c>
    </row>
    <row r="36" spans="2:4" x14ac:dyDescent="0.25">
      <c r="B36" s="20" t="s">
        <v>64</v>
      </c>
      <c r="C36" s="26">
        <v>11232</v>
      </c>
      <c r="D36" s="17">
        <v>212211</v>
      </c>
    </row>
    <row r="37" spans="2:4" x14ac:dyDescent="0.25">
      <c r="B37" s="20" t="s">
        <v>64</v>
      </c>
      <c r="C37" s="26">
        <v>15254</v>
      </c>
      <c r="D37" s="17">
        <v>985589</v>
      </c>
    </row>
    <row r="38" spans="2:4" x14ac:dyDescent="0.25">
      <c r="B38" s="20" t="s">
        <v>64</v>
      </c>
      <c r="C38" s="26">
        <v>89954</v>
      </c>
      <c r="D38" s="17">
        <v>774444</v>
      </c>
    </row>
    <row r="39" spans="2:4" x14ac:dyDescent="0.25">
      <c r="B39" s="20" t="s">
        <v>64</v>
      </c>
      <c r="C39" s="26">
        <v>78564</v>
      </c>
      <c r="D39" s="17">
        <v>985574</v>
      </c>
    </row>
    <row r="40" spans="2:4" x14ac:dyDescent="0.25">
      <c r="B40" s="20" t="s">
        <v>64</v>
      </c>
      <c r="C40" s="26">
        <v>48963</v>
      </c>
      <c r="D40" s="21">
        <v>896523</v>
      </c>
    </row>
    <row r="41" spans="2:4" x14ac:dyDescent="0.25">
      <c r="B41" s="20" t="s">
        <v>64</v>
      </c>
      <c r="C41" s="26">
        <v>6554</v>
      </c>
      <c r="D41" s="17">
        <v>554121</v>
      </c>
    </row>
    <row r="42" spans="2:4" x14ac:dyDescent="0.25">
      <c r="B42" s="20" t="s">
        <v>64</v>
      </c>
      <c r="C42" s="26">
        <v>2245</v>
      </c>
      <c r="D42" s="17">
        <v>541223</v>
      </c>
    </row>
    <row r="43" spans="2:4" x14ac:dyDescent="0.25">
      <c r="B43" s="20" t="s">
        <v>64</v>
      </c>
      <c r="C43" s="26">
        <v>6552</v>
      </c>
      <c r="D43" s="17">
        <v>411522</v>
      </c>
    </row>
    <row r="44" spans="2:4" x14ac:dyDescent="0.25">
      <c r="B44" s="20" t="s">
        <v>66</v>
      </c>
      <c r="C44" s="26">
        <v>2256</v>
      </c>
      <c r="D44" s="17">
        <v>411223</v>
      </c>
    </row>
    <row r="45" spans="2:4" x14ac:dyDescent="0.25">
      <c r="B45" s="20" t="s">
        <v>66</v>
      </c>
      <c r="C45" s="26">
        <v>9874</v>
      </c>
      <c r="D45" s="17">
        <v>411244</v>
      </c>
    </row>
    <row r="46" spans="2:4" x14ac:dyDescent="0.25">
      <c r="B46" s="20" t="s">
        <v>66</v>
      </c>
      <c r="C46" s="26">
        <v>5555</v>
      </c>
      <c r="D46" s="17">
        <v>221412</v>
      </c>
    </row>
    <row r="47" spans="2:4" x14ac:dyDescent="0.25">
      <c r="B47" s="20" t="s">
        <v>66</v>
      </c>
      <c r="C47" s="27">
        <v>22251</v>
      </c>
      <c r="D47" s="19">
        <v>21555</v>
      </c>
    </row>
    <row r="48" spans="2:4" x14ac:dyDescent="0.25">
      <c r="B48" s="20" t="s">
        <v>66</v>
      </c>
      <c r="C48" s="27">
        <v>19852</v>
      </c>
      <c r="D48" s="19">
        <v>15452</v>
      </c>
    </row>
    <row r="49" spans="2:4" x14ac:dyDescent="0.25">
      <c r="B49" s="20" t="s">
        <v>66</v>
      </c>
      <c r="C49" s="27">
        <v>48963</v>
      </c>
      <c r="D49" s="19">
        <v>256314</v>
      </c>
    </row>
    <row r="50" spans="2:4" x14ac:dyDescent="0.25">
      <c r="B50" s="20" t="s">
        <v>66</v>
      </c>
      <c r="C50" s="26">
        <v>14411</v>
      </c>
      <c r="D50" s="17">
        <v>115474</v>
      </c>
    </row>
    <row r="51" spans="2:4" x14ac:dyDescent="0.25">
      <c r="B51" s="20" t="s">
        <v>68</v>
      </c>
      <c r="C51" s="26">
        <v>142987</v>
      </c>
      <c r="D51" s="17">
        <v>114212</v>
      </c>
    </row>
    <row r="52" spans="2:4" x14ac:dyDescent="0.25">
      <c r="B52" s="20" t="s">
        <v>68</v>
      </c>
      <c r="C52" s="26">
        <v>52698</v>
      </c>
      <c r="D52" s="17">
        <v>256332</v>
      </c>
    </row>
    <row r="53" spans="2:4" x14ac:dyDescent="0.25">
      <c r="B53" s="20" t="s">
        <v>68</v>
      </c>
      <c r="C53" s="26">
        <v>45678</v>
      </c>
      <c r="D53" s="17">
        <v>215211</v>
      </c>
    </row>
    <row r="54" spans="2:4" x14ac:dyDescent="0.25">
      <c r="B54" s="20" t="s">
        <v>68</v>
      </c>
      <c r="C54" s="26">
        <v>12526</v>
      </c>
      <c r="D54" s="17">
        <v>225148</v>
      </c>
    </row>
    <row r="55" spans="2:4" x14ac:dyDescent="0.25">
      <c r="B55" s="20" t="s">
        <v>68</v>
      </c>
      <c r="C55" s="26">
        <v>23456</v>
      </c>
      <c r="D55" s="17">
        <v>256984</v>
      </c>
    </row>
    <row r="56" spans="2:4" x14ac:dyDescent="0.25">
      <c r="B56" s="20" t="s">
        <v>70</v>
      </c>
      <c r="C56" s="26">
        <v>97654</v>
      </c>
      <c r="D56" s="17">
        <v>112154</v>
      </c>
    </row>
    <row r="57" spans="2:4" x14ac:dyDescent="0.25">
      <c r="B57" s="20" t="s">
        <v>70</v>
      </c>
      <c r="C57" s="26">
        <v>56789</v>
      </c>
      <c r="D57" s="17">
        <v>248963</v>
      </c>
    </row>
    <row r="58" spans="2:4" x14ac:dyDescent="0.25">
      <c r="B58" s="20" t="s">
        <v>70</v>
      </c>
      <c r="C58" s="26">
        <v>36987</v>
      </c>
      <c r="D58" s="17">
        <v>256489</v>
      </c>
    </row>
    <row r="59" spans="2:4" x14ac:dyDescent="0.25">
      <c r="B59" s="20" t="s">
        <v>70</v>
      </c>
      <c r="C59" s="26">
        <v>123456</v>
      </c>
      <c r="D59" s="17">
        <v>122536</v>
      </c>
    </row>
    <row r="60" spans="2:4" x14ac:dyDescent="0.25">
      <c r="B60" s="20" t="s">
        <v>70</v>
      </c>
      <c r="C60" s="26">
        <v>25859</v>
      </c>
      <c r="D60" s="17">
        <v>568854</v>
      </c>
    </row>
    <row r="61" spans="2:4" x14ac:dyDescent="0.25">
      <c r="B61" s="20" t="s">
        <v>70</v>
      </c>
      <c r="C61" s="26">
        <v>17896</v>
      </c>
      <c r="D61" s="17">
        <v>556352</v>
      </c>
    </row>
    <row r="62" spans="2:4" x14ac:dyDescent="0.25">
      <c r="B62" s="20" t="s">
        <v>70</v>
      </c>
      <c r="C62" s="26">
        <v>49076</v>
      </c>
      <c r="D62" s="17">
        <v>552854</v>
      </c>
    </row>
    <row r="63" spans="2:4" x14ac:dyDescent="0.25">
      <c r="B63" s="20" t="s">
        <v>70</v>
      </c>
      <c r="C63" s="26">
        <v>28965</v>
      </c>
      <c r="D63" s="17">
        <v>122525</v>
      </c>
    </row>
    <row r="64" spans="2:4" x14ac:dyDescent="0.25">
      <c r="B64" s="20" t="s">
        <v>70</v>
      </c>
      <c r="C64" s="26">
        <v>36985</v>
      </c>
      <c r="D64" s="17">
        <v>241221</v>
      </c>
    </row>
    <row r="65" spans="2:4" x14ac:dyDescent="0.25">
      <c r="B65" s="20" t="s">
        <v>72</v>
      </c>
      <c r="C65" s="26">
        <v>45632</v>
      </c>
      <c r="D65" s="17">
        <v>656254</v>
      </c>
    </row>
    <row r="66" spans="2:4" x14ac:dyDescent="0.25">
      <c r="B66" s="20" t="s">
        <v>72</v>
      </c>
      <c r="C66" s="26">
        <v>24896</v>
      </c>
      <c r="D66" s="17">
        <v>654101</v>
      </c>
    </row>
    <row r="67" spans="2:4" x14ac:dyDescent="0.25">
      <c r="B67" s="20" t="s">
        <v>72</v>
      </c>
      <c r="C67" s="26">
        <v>17596</v>
      </c>
      <c r="D67" s="17">
        <v>556652</v>
      </c>
    </row>
    <row r="68" spans="2:4" x14ac:dyDescent="0.25">
      <c r="B68" s="20" t="s">
        <v>72</v>
      </c>
      <c r="C68" s="26">
        <v>5698</v>
      </c>
      <c r="D68" s="17">
        <v>454541</v>
      </c>
    </row>
    <row r="69" spans="2:4" x14ac:dyDescent="0.25">
      <c r="B69" s="20" t="s">
        <v>72</v>
      </c>
      <c r="C69" s="26">
        <v>9865</v>
      </c>
      <c r="D69" s="17">
        <v>322221</v>
      </c>
    </row>
    <row r="70" spans="2:4" x14ac:dyDescent="0.25">
      <c r="B70" s="20" t="s">
        <v>72</v>
      </c>
      <c r="C70" s="26">
        <v>12365</v>
      </c>
      <c r="D70" s="17">
        <v>256544</v>
      </c>
    </row>
    <row r="71" spans="2:4" x14ac:dyDescent="0.25">
      <c r="B71" s="20" t="s">
        <v>72</v>
      </c>
      <c r="C71" s="26">
        <v>12124</v>
      </c>
      <c r="D71" s="17">
        <v>561121</v>
      </c>
    </row>
    <row r="72" spans="2:4" x14ac:dyDescent="0.25">
      <c r="B72" s="20" t="s">
        <v>72</v>
      </c>
      <c r="C72" s="26">
        <v>18965</v>
      </c>
      <c r="D72" s="17">
        <v>574544</v>
      </c>
    </row>
    <row r="73" spans="2:4" x14ac:dyDescent="0.25">
      <c r="B73" s="20" t="s">
        <v>72</v>
      </c>
      <c r="C73" s="26">
        <v>21145</v>
      </c>
      <c r="D73" s="17">
        <v>157445</v>
      </c>
    </row>
    <row r="74" spans="2:4" x14ac:dyDescent="0.25">
      <c r="B74" s="20" t="s">
        <v>74</v>
      </c>
      <c r="C74" s="26">
        <v>14545</v>
      </c>
      <c r="D74" s="17">
        <v>111522</v>
      </c>
    </row>
    <row r="75" spans="2:4" x14ac:dyDescent="0.25">
      <c r="B75" s="20" t="s">
        <v>74</v>
      </c>
      <c r="C75" s="26">
        <v>12566</v>
      </c>
      <c r="D75" s="17">
        <v>112235</v>
      </c>
    </row>
    <row r="76" spans="2:4" x14ac:dyDescent="0.25">
      <c r="B76" s="20" t="s">
        <v>74</v>
      </c>
      <c r="C76" s="26">
        <v>17854</v>
      </c>
      <c r="D76" s="17">
        <v>211142</v>
      </c>
    </row>
    <row r="77" spans="2:4" x14ac:dyDescent="0.25">
      <c r="B77" s="20" t="s">
        <v>74</v>
      </c>
      <c r="C77" s="26">
        <v>19325</v>
      </c>
      <c r="D77" s="17">
        <v>211331</v>
      </c>
    </row>
    <row r="78" spans="2:4" x14ac:dyDescent="0.25">
      <c r="B78" s="20" t="s">
        <v>74</v>
      </c>
      <c r="C78" s="26">
        <v>16544</v>
      </c>
      <c r="D78" s="17">
        <v>654122</v>
      </c>
    </row>
    <row r="79" spans="2:4" x14ac:dyDescent="0.25">
      <c r="B79" s="20" t="s">
        <v>74</v>
      </c>
      <c r="C79" s="26">
        <v>25632</v>
      </c>
      <c r="D79" s="17">
        <v>565213</v>
      </c>
    </row>
    <row r="80" spans="2:4" x14ac:dyDescent="0.25">
      <c r="B80" s="20" t="s">
        <v>76</v>
      </c>
      <c r="C80" s="26">
        <v>14567</v>
      </c>
      <c r="D80" s="17">
        <v>263589</v>
      </c>
    </row>
    <row r="81" spans="2:4" x14ac:dyDescent="0.25">
      <c r="B81" s="20" t="s">
        <v>76</v>
      </c>
      <c r="C81" s="26">
        <v>38763</v>
      </c>
      <c r="D81" s="17">
        <v>126655</v>
      </c>
    </row>
    <row r="82" spans="2:4" x14ac:dyDescent="0.25">
      <c r="B82" s="20" t="s">
        <v>76</v>
      </c>
      <c r="C82" s="26">
        <v>14552</v>
      </c>
      <c r="D82" s="21">
        <v>122636</v>
      </c>
    </row>
    <row r="83" spans="2:4" x14ac:dyDescent="0.25">
      <c r="B83" s="20" t="s">
        <v>76</v>
      </c>
      <c r="C83" s="26">
        <v>34567</v>
      </c>
      <c r="D83" s="21">
        <v>156636</v>
      </c>
    </row>
    <row r="84" spans="2:4" x14ac:dyDescent="0.25">
      <c r="B84" s="20" t="s">
        <v>76</v>
      </c>
      <c r="C84" s="26">
        <v>76889</v>
      </c>
      <c r="D84" s="17">
        <v>141252</v>
      </c>
    </row>
    <row r="85" spans="2:4" x14ac:dyDescent="0.25">
      <c r="B85" s="20" t="s">
        <v>76</v>
      </c>
      <c r="C85" s="26">
        <v>34324</v>
      </c>
      <c r="D85" s="17">
        <v>225412</v>
      </c>
    </row>
    <row r="86" spans="2:4" x14ac:dyDescent="0.25">
      <c r="B86" s="20" t="s">
        <v>76</v>
      </c>
      <c r="C86" s="26">
        <v>19976</v>
      </c>
      <c r="D86" s="17">
        <v>365212</v>
      </c>
    </row>
    <row r="87" spans="2:4" x14ac:dyDescent="0.25">
      <c r="B87" s="20" t="s">
        <v>78</v>
      </c>
      <c r="C87" s="26">
        <v>115567</v>
      </c>
      <c r="D87" s="17">
        <v>114522</v>
      </c>
    </row>
    <row r="88" spans="2:4" x14ac:dyDescent="0.25">
      <c r="B88" s="20" t="s">
        <v>78</v>
      </c>
      <c r="C88" s="26">
        <v>98756</v>
      </c>
      <c r="D88" s="17">
        <v>655654</v>
      </c>
    </row>
    <row r="89" spans="2:4" x14ac:dyDescent="0.25">
      <c r="B89" s="20" t="s">
        <v>78</v>
      </c>
      <c r="C89" s="26">
        <v>56789</v>
      </c>
      <c r="D89" s="17">
        <v>112554</v>
      </c>
    </row>
    <row r="90" spans="2:4" x14ac:dyDescent="0.25">
      <c r="B90" s="20" t="s">
        <v>78</v>
      </c>
      <c r="C90" s="26">
        <v>65456</v>
      </c>
      <c r="D90" s="17">
        <v>663541</v>
      </c>
    </row>
    <row r="91" spans="2:4" x14ac:dyDescent="0.25">
      <c r="B91" s="20" t="s">
        <v>78</v>
      </c>
      <c r="C91" s="26">
        <v>36789</v>
      </c>
      <c r="D91" s="17">
        <v>211122</v>
      </c>
    </row>
    <row r="92" spans="2:4" x14ac:dyDescent="0.25">
      <c r="B92" s="20" t="s">
        <v>78</v>
      </c>
      <c r="C92" s="26">
        <v>65467</v>
      </c>
      <c r="D92" s="17">
        <v>226541</v>
      </c>
    </row>
    <row r="93" spans="2:4" x14ac:dyDescent="0.25">
      <c r="B93" s="20" t="s">
        <v>78</v>
      </c>
      <c r="C93" s="26">
        <v>23456</v>
      </c>
      <c r="D93" s="17">
        <v>541141</v>
      </c>
    </row>
    <row r="94" spans="2:4" x14ac:dyDescent="0.25">
      <c r="B94" s="20" t="s">
        <v>78</v>
      </c>
      <c r="C94" s="26">
        <v>54322</v>
      </c>
      <c r="D94" s="17">
        <v>522151</v>
      </c>
    </row>
    <row r="95" spans="2:4" x14ac:dyDescent="0.25">
      <c r="B95" s="20" t="s">
        <v>80</v>
      </c>
      <c r="C95" s="26">
        <v>14585</v>
      </c>
      <c r="D95" s="21">
        <v>511152</v>
      </c>
    </row>
    <row r="96" spans="2:4" x14ac:dyDescent="0.25">
      <c r="B96" s="20" t="s">
        <v>80</v>
      </c>
      <c r="C96" s="26">
        <v>9876</v>
      </c>
      <c r="D96" s="21">
        <v>656252</v>
      </c>
    </row>
    <row r="97" spans="2:4" x14ac:dyDescent="0.25">
      <c r="B97" s="20" t="s">
        <v>80</v>
      </c>
      <c r="C97" s="26">
        <v>6754</v>
      </c>
      <c r="D97" s="21">
        <v>422112</v>
      </c>
    </row>
    <row r="98" spans="2:4" x14ac:dyDescent="0.25">
      <c r="B98" s="20" t="s">
        <v>80</v>
      </c>
      <c r="C98" s="26">
        <v>3456</v>
      </c>
      <c r="D98" s="17">
        <v>212221</v>
      </c>
    </row>
    <row r="99" spans="2:4" x14ac:dyDescent="0.25">
      <c r="B99" s="20" t="s">
        <v>82</v>
      </c>
      <c r="C99" s="26">
        <v>45678</v>
      </c>
      <c r="D99" s="17">
        <v>332211</v>
      </c>
    </row>
    <row r="100" spans="2:4" x14ac:dyDescent="0.25">
      <c r="B100" s="20" t="s">
        <v>82</v>
      </c>
      <c r="C100" s="26">
        <v>32456</v>
      </c>
      <c r="D100" s="17">
        <v>445643</v>
      </c>
    </row>
    <row r="101" spans="2:4" x14ac:dyDescent="0.25">
      <c r="B101" s="20" t="s">
        <v>82</v>
      </c>
      <c r="C101" s="26">
        <v>12347</v>
      </c>
      <c r="D101" s="17">
        <v>754455</v>
      </c>
    </row>
    <row r="102" spans="2:4" x14ac:dyDescent="0.25">
      <c r="B102" s="20" t="s">
        <v>82</v>
      </c>
      <c r="C102" s="26">
        <v>97900</v>
      </c>
      <c r="D102" s="17">
        <v>654766</v>
      </c>
    </row>
    <row r="103" spans="2:4" x14ac:dyDescent="0.25">
      <c r="B103" s="20" t="s">
        <v>82</v>
      </c>
      <c r="C103" s="26">
        <v>13456</v>
      </c>
      <c r="D103" s="17">
        <v>768543</v>
      </c>
    </row>
    <row r="104" spans="2:4" x14ac:dyDescent="0.25">
      <c r="B104" s="20" t="s">
        <v>82</v>
      </c>
      <c r="C104" s="26">
        <v>78954</v>
      </c>
      <c r="D104" s="17">
        <v>343456</v>
      </c>
    </row>
    <row r="105" spans="2:4" x14ac:dyDescent="0.25">
      <c r="B105" s="20" t="s">
        <v>84</v>
      </c>
      <c r="C105" s="26">
        <v>16789</v>
      </c>
      <c r="D105" s="17">
        <v>552111</v>
      </c>
    </row>
    <row r="106" spans="2:4" x14ac:dyDescent="0.25">
      <c r="B106" s="20" t="s">
        <v>84</v>
      </c>
      <c r="C106" s="26">
        <v>56789</v>
      </c>
      <c r="D106" s="17">
        <v>256332</v>
      </c>
    </row>
    <row r="107" spans="2:4" x14ac:dyDescent="0.25">
      <c r="B107" s="20" t="s">
        <v>84</v>
      </c>
      <c r="C107" s="26">
        <v>23456</v>
      </c>
      <c r="D107" s="17">
        <v>554232</v>
      </c>
    </row>
    <row r="108" spans="2:4" x14ac:dyDescent="0.25">
      <c r="B108" s="20" t="s">
        <v>84</v>
      </c>
      <c r="C108" s="26">
        <v>65432</v>
      </c>
      <c r="D108" s="17">
        <v>455524</v>
      </c>
    </row>
    <row r="109" spans="2:4" x14ac:dyDescent="0.25">
      <c r="B109" s="20" t="s">
        <v>84</v>
      </c>
      <c r="C109" s="26">
        <v>21234</v>
      </c>
      <c r="D109" s="17">
        <v>556321</v>
      </c>
    </row>
    <row r="110" spans="2:4" x14ac:dyDescent="0.25">
      <c r="B110" s="20" t="s">
        <v>84</v>
      </c>
      <c r="C110" s="26">
        <v>11224</v>
      </c>
      <c r="D110" s="17">
        <v>541255</v>
      </c>
    </row>
    <row r="111" spans="2:4" x14ac:dyDescent="0.25">
      <c r="B111" s="20" t="s">
        <v>86</v>
      </c>
      <c r="C111" s="26">
        <v>17525</v>
      </c>
      <c r="D111" s="17">
        <v>526321</v>
      </c>
    </row>
    <row r="112" spans="2:4" x14ac:dyDescent="0.25">
      <c r="B112" s="20" t="s">
        <v>86</v>
      </c>
      <c r="C112" s="26">
        <v>25983</v>
      </c>
      <c r="D112" s="17">
        <v>565121</v>
      </c>
    </row>
    <row r="113" spans="2:4" x14ac:dyDescent="0.25">
      <c r="B113" s="20" t="s">
        <v>86</v>
      </c>
      <c r="C113" s="26">
        <v>56662</v>
      </c>
      <c r="D113" s="17">
        <v>231566</v>
      </c>
    </row>
    <row r="114" spans="2:4" x14ac:dyDescent="0.25">
      <c r="B114" s="20" t="s">
        <v>86</v>
      </c>
      <c r="C114" s="26">
        <v>66523</v>
      </c>
      <c r="D114" s="17">
        <v>366544</v>
      </c>
    </row>
    <row r="115" spans="2:4" x14ac:dyDescent="0.25">
      <c r="B115" s="20" t="s">
        <v>86</v>
      </c>
      <c r="C115" s="26">
        <v>89652</v>
      </c>
      <c r="D115" s="17">
        <v>662354</v>
      </c>
    </row>
    <row r="116" spans="2:4" x14ac:dyDescent="0.25">
      <c r="B116" s="20" t="s">
        <v>86</v>
      </c>
      <c r="C116" s="26">
        <v>23365</v>
      </c>
      <c r="D116" s="17">
        <v>665522</v>
      </c>
    </row>
    <row r="117" spans="2:4" x14ac:dyDescent="0.25">
      <c r="B117" s="20" t="s">
        <v>86</v>
      </c>
      <c r="C117" s="26">
        <v>36985</v>
      </c>
      <c r="D117" s="21">
        <v>668523</v>
      </c>
    </row>
    <row r="118" spans="2:4" x14ac:dyDescent="0.25">
      <c r="B118" s="20" t="s">
        <v>86</v>
      </c>
      <c r="C118" s="26">
        <v>56635</v>
      </c>
      <c r="D118" s="17">
        <v>555441</v>
      </c>
    </row>
    <row r="119" spans="2:4" x14ac:dyDescent="0.25">
      <c r="B119" s="20" t="s">
        <v>88</v>
      </c>
      <c r="C119" s="26">
        <v>113456</v>
      </c>
      <c r="D119" s="17">
        <v>122000</v>
      </c>
    </row>
    <row r="120" spans="2:4" x14ac:dyDescent="0.25">
      <c r="B120" s="20" t="s">
        <v>88</v>
      </c>
      <c r="C120" s="26">
        <v>97654</v>
      </c>
      <c r="D120" s="17">
        <v>454545</v>
      </c>
    </row>
    <row r="121" spans="2:4" x14ac:dyDescent="0.25">
      <c r="B121" s="20" t="s">
        <v>88</v>
      </c>
      <c r="C121" s="26">
        <v>22234</v>
      </c>
      <c r="D121" s="17">
        <v>565544</v>
      </c>
    </row>
    <row r="122" spans="2:4" x14ac:dyDescent="0.25">
      <c r="B122" s="20" t="s">
        <v>88</v>
      </c>
      <c r="C122" s="26">
        <v>33456</v>
      </c>
      <c r="D122" s="17">
        <v>556441</v>
      </c>
    </row>
    <row r="123" spans="2:4" x14ac:dyDescent="0.25">
      <c r="B123" s="20" t="s">
        <v>88</v>
      </c>
      <c r="C123" s="26">
        <v>35872</v>
      </c>
      <c r="D123" s="17">
        <v>556544</v>
      </c>
    </row>
    <row r="124" spans="2:4" x14ac:dyDescent="0.25">
      <c r="B124" s="20" t="s">
        <v>88</v>
      </c>
      <c r="C124" s="26">
        <v>25893</v>
      </c>
      <c r="D124" s="17">
        <v>122533</v>
      </c>
    </row>
    <row r="125" spans="2:4" ht="15.75" thickBot="1" x14ac:dyDescent="0.3">
      <c r="B125" s="23" t="s">
        <v>88</v>
      </c>
      <c r="C125" s="28">
        <v>65891</v>
      </c>
      <c r="D125" s="24">
        <v>125221</v>
      </c>
    </row>
  </sheetData>
  <dataConsolidate function="average">
    <dataRefs count="1">
      <dataRef ref="B11:C125" sheet="CONSOLIDAÇÃO VALORES"/>
    </dataRefs>
  </dataConsolidate>
  <mergeCells count="2">
    <mergeCell ref="F8:G8"/>
    <mergeCell ref="B8:D8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Planilha1"/>
  <dimension ref="A1:D19"/>
  <sheetViews>
    <sheetView showGridLines="0" workbookViewId="0"/>
  </sheetViews>
  <sheetFormatPr defaultRowHeight="15" x14ac:dyDescent="0.25"/>
  <cols>
    <col min="1" max="1" width="29.85546875" bestFit="1" customWidth="1"/>
    <col min="2" max="2" width="15.5703125" bestFit="1" customWidth="1"/>
    <col min="3" max="3" width="17.85546875" bestFit="1" customWidth="1"/>
    <col min="4" max="4" width="14.7109375" bestFit="1" customWidth="1"/>
  </cols>
  <sheetData>
    <row r="1" spans="1:4" x14ac:dyDescent="0.25">
      <c r="A1" s="105" t="s">
        <v>96</v>
      </c>
      <c r="B1" t="s">
        <v>97</v>
      </c>
    </row>
    <row r="3" spans="1:4" x14ac:dyDescent="0.25">
      <c r="B3" s="105" t="s">
        <v>54</v>
      </c>
    </row>
    <row r="4" spans="1:4" x14ac:dyDescent="0.25">
      <c r="A4" s="105" t="s">
        <v>98</v>
      </c>
      <c r="B4" t="s">
        <v>99</v>
      </c>
      <c r="C4" t="s">
        <v>100</v>
      </c>
      <c r="D4" t="s">
        <v>101</v>
      </c>
    </row>
    <row r="5" spans="1:4" x14ac:dyDescent="0.25">
      <c r="A5" t="s">
        <v>102</v>
      </c>
      <c r="B5" s="106">
        <v>2456</v>
      </c>
      <c r="C5" s="106">
        <v>5</v>
      </c>
      <c r="D5" s="106">
        <v>667</v>
      </c>
    </row>
    <row r="6" spans="1:4" x14ac:dyDescent="0.25">
      <c r="A6" t="s">
        <v>103</v>
      </c>
      <c r="B6" s="106">
        <v>333</v>
      </c>
      <c r="C6" s="106">
        <v>223</v>
      </c>
      <c r="D6" s="106">
        <v>432</v>
      </c>
    </row>
    <row r="7" spans="1:4" x14ac:dyDescent="0.25">
      <c r="A7" t="s">
        <v>104</v>
      </c>
      <c r="B7" s="106">
        <v>322</v>
      </c>
      <c r="C7" s="106">
        <v>6</v>
      </c>
      <c r="D7" s="106">
        <v>4346</v>
      </c>
    </row>
    <row r="8" spans="1:4" x14ac:dyDescent="0.25">
      <c r="A8" t="s">
        <v>105</v>
      </c>
      <c r="B8" s="106">
        <v>3456</v>
      </c>
      <c r="C8" s="106">
        <v>121</v>
      </c>
      <c r="D8" s="106">
        <v>32</v>
      </c>
    </row>
    <row r="9" spans="1:4" x14ac:dyDescent="0.25">
      <c r="A9" t="s">
        <v>106</v>
      </c>
      <c r="B9" s="106">
        <v>456</v>
      </c>
      <c r="C9" s="106">
        <v>5534</v>
      </c>
      <c r="D9" s="106">
        <v>23432</v>
      </c>
    </row>
    <row r="10" spans="1:4" x14ac:dyDescent="0.25">
      <c r="A10" t="s">
        <v>107</v>
      </c>
      <c r="B10" s="106">
        <v>3235</v>
      </c>
      <c r="C10" s="106">
        <v>2</v>
      </c>
      <c r="D10" s="106">
        <v>32</v>
      </c>
    </row>
    <row r="11" spans="1:4" x14ac:dyDescent="0.25">
      <c r="A11" t="s">
        <v>108</v>
      </c>
      <c r="B11" s="106">
        <v>4332</v>
      </c>
      <c r="C11" s="106">
        <v>5</v>
      </c>
      <c r="D11" s="106">
        <v>453</v>
      </c>
    </row>
    <row r="12" spans="1:4" x14ac:dyDescent="0.25">
      <c r="A12" t="s">
        <v>109</v>
      </c>
      <c r="B12" s="106">
        <v>4656</v>
      </c>
      <c r="C12" s="106">
        <v>4</v>
      </c>
      <c r="D12" s="106">
        <v>1234</v>
      </c>
    </row>
    <row r="13" spans="1:4" x14ac:dyDescent="0.25">
      <c r="A13" t="s">
        <v>110</v>
      </c>
      <c r="B13" s="106">
        <v>234</v>
      </c>
      <c r="C13" s="106">
        <v>5</v>
      </c>
      <c r="D13" s="106">
        <v>543</v>
      </c>
    </row>
    <row r="14" spans="1:4" x14ac:dyDescent="0.25">
      <c r="A14" t="s">
        <v>111</v>
      </c>
      <c r="B14" s="106">
        <v>21</v>
      </c>
      <c r="C14" s="106">
        <v>54</v>
      </c>
      <c r="D14" s="106">
        <v>543</v>
      </c>
    </row>
    <row r="15" spans="1:4" x14ac:dyDescent="0.25">
      <c r="A15" t="s">
        <v>112</v>
      </c>
      <c r="B15" s="106">
        <v>1234</v>
      </c>
      <c r="C15" s="106">
        <v>5</v>
      </c>
      <c r="D15" s="106">
        <v>32</v>
      </c>
    </row>
    <row r="16" spans="1:4" x14ac:dyDescent="0.25">
      <c r="A16" t="s">
        <v>113</v>
      </c>
      <c r="B16" s="106">
        <v>455</v>
      </c>
      <c r="C16" s="106">
        <v>4</v>
      </c>
      <c r="D16" s="106">
        <v>24</v>
      </c>
    </row>
    <row r="17" spans="1:4" x14ac:dyDescent="0.25">
      <c r="A17" t="s">
        <v>114</v>
      </c>
      <c r="B17" s="106">
        <v>9876</v>
      </c>
      <c r="C17" s="106">
        <v>656</v>
      </c>
      <c r="D17" s="106">
        <v>32</v>
      </c>
    </row>
    <row r="18" spans="1:4" x14ac:dyDescent="0.25">
      <c r="A18" t="s">
        <v>115</v>
      </c>
      <c r="B18" s="106">
        <v>122</v>
      </c>
      <c r="C18" s="106">
        <v>78</v>
      </c>
      <c r="D18" s="106">
        <v>3322</v>
      </c>
    </row>
    <row r="19" spans="1:4" x14ac:dyDescent="0.25">
      <c r="A19" t="s">
        <v>90</v>
      </c>
      <c r="B19" s="106">
        <v>31188</v>
      </c>
      <c r="C19" s="106">
        <v>6702</v>
      </c>
      <c r="D19" s="106">
        <v>35124</v>
      </c>
    </row>
  </sheetData>
  <pageMargins left="0.511811024" right="0.511811024" top="0.78740157499999996" bottom="0.78740157499999996" header="0.31496062000000002" footer="0.3149606200000000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Plan9"/>
  <dimension ref="B1:L22"/>
  <sheetViews>
    <sheetView showGridLines="0" workbookViewId="0">
      <selection activeCell="H11" activeCellId="2" sqref="B11:C22 F11:F22 H11:H22"/>
    </sheetView>
  </sheetViews>
  <sheetFormatPr defaultRowHeight="15" x14ac:dyDescent="0.25"/>
  <cols>
    <col min="1" max="1" width="4.7109375" customWidth="1"/>
    <col min="2" max="2" width="8.28515625" customWidth="1"/>
    <col min="3" max="3" width="26.5703125" customWidth="1"/>
    <col min="4" max="4" width="4" customWidth="1"/>
    <col min="5" max="5" width="7.5703125" customWidth="1"/>
    <col min="6" max="6" width="27.5703125" customWidth="1"/>
    <col min="7" max="7" width="4" customWidth="1"/>
    <col min="8" max="8" width="23.28515625" customWidth="1"/>
  </cols>
  <sheetData>
    <row r="1" spans="2:12" ht="13.5" customHeight="1" x14ac:dyDescent="0.25"/>
    <row r="3" spans="2:12" x14ac:dyDescent="0.25">
      <c r="G3" s="54" t="s">
        <v>116</v>
      </c>
      <c r="H3" s="44"/>
      <c r="I3" s="44"/>
      <c r="J3" s="44"/>
    </row>
    <row r="4" spans="2:12" x14ac:dyDescent="0.25">
      <c r="C4" s="61"/>
      <c r="G4" s="54" t="s">
        <v>117</v>
      </c>
      <c r="H4" s="44"/>
      <c r="I4" s="44"/>
      <c r="J4" s="44"/>
    </row>
    <row r="5" spans="2:12" x14ac:dyDescent="0.25">
      <c r="G5" s="54" t="s">
        <v>118</v>
      </c>
      <c r="H5" s="44"/>
      <c r="I5" s="44"/>
      <c r="J5" s="44"/>
    </row>
    <row r="7" spans="2:12" ht="27.75" customHeight="1" thickBot="1" x14ac:dyDescent="0.3"/>
    <row r="8" spans="2:12" ht="15.75" hidden="1" thickBot="1" x14ac:dyDescent="0.3"/>
    <row r="9" spans="2:12" ht="15.75" thickBot="1" x14ac:dyDescent="0.3">
      <c r="B9" s="191" t="s">
        <v>119</v>
      </c>
      <c r="C9" s="192"/>
      <c r="D9" s="43"/>
      <c r="E9" s="191" t="s">
        <v>120</v>
      </c>
      <c r="F9" s="192"/>
      <c r="G9" s="44"/>
      <c r="H9" s="62" t="s">
        <v>121</v>
      </c>
    </row>
    <row r="10" spans="2:12" x14ac:dyDescent="0.25">
      <c r="B10" s="85" t="s">
        <v>122</v>
      </c>
      <c r="C10" s="86" t="s">
        <v>123</v>
      </c>
      <c r="D10" s="45"/>
      <c r="E10" s="85" t="s">
        <v>122</v>
      </c>
      <c r="F10" s="86" t="s">
        <v>123</v>
      </c>
      <c r="G10" s="44"/>
      <c r="H10" s="87" t="s">
        <v>54</v>
      </c>
    </row>
    <row r="11" spans="2:12" x14ac:dyDescent="0.25">
      <c r="B11" s="46" t="s">
        <v>124</v>
      </c>
      <c r="C11" s="47">
        <v>45678</v>
      </c>
      <c r="D11" s="44"/>
      <c r="E11" s="46" t="s">
        <v>124</v>
      </c>
      <c r="F11" s="47">
        <v>49876</v>
      </c>
      <c r="G11" s="48"/>
      <c r="H11" s="49">
        <v>65000</v>
      </c>
    </row>
    <row r="12" spans="2:12" x14ac:dyDescent="0.25">
      <c r="B12" s="46" t="s">
        <v>125</v>
      </c>
      <c r="C12" s="50">
        <v>66534</v>
      </c>
      <c r="D12" s="44"/>
      <c r="E12" s="46" t="s">
        <v>125</v>
      </c>
      <c r="F12" s="50">
        <v>59043</v>
      </c>
      <c r="G12" s="48"/>
      <c r="H12" s="49">
        <v>45000</v>
      </c>
      <c r="L12" s="63"/>
    </row>
    <row r="13" spans="2:12" x14ac:dyDescent="0.25">
      <c r="B13" s="46" t="s">
        <v>126</v>
      </c>
      <c r="C13" s="50">
        <v>49876</v>
      </c>
      <c r="D13" s="44"/>
      <c r="E13" s="46" t="s">
        <v>126</v>
      </c>
      <c r="F13" s="50">
        <v>53456</v>
      </c>
      <c r="G13" s="48"/>
      <c r="H13" s="49">
        <v>40000</v>
      </c>
    </row>
    <row r="14" spans="2:12" x14ac:dyDescent="0.25">
      <c r="B14" s="46" t="s">
        <v>127</v>
      </c>
      <c r="C14" s="50">
        <v>25678</v>
      </c>
      <c r="D14" s="44"/>
      <c r="E14" s="46" t="s">
        <v>127</v>
      </c>
      <c r="F14" s="50">
        <v>34599</v>
      </c>
      <c r="G14" s="48"/>
      <c r="H14" s="49">
        <v>40000</v>
      </c>
    </row>
    <row r="15" spans="2:12" x14ac:dyDescent="0.25">
      <c r="B15" s="46" t="s">
        <v>128</v>
      </c>
      <c r="C15" s="50">
        <v>12253</v>
      </c>
      <c r="D15" s="44"/>
      <c r="E15" s="46" t="s">
        <v>128</v>
      </c>
      <c r="F15" s="50">
        <v>17234</v>
      </c>
      <c r="G15" s="44"/>
      <c r="H15" s="49">
        <v>30000</v>
      </c>
    </row>
    <row r="16" spans="2:12" x14ac:dyDescent="0.25">
      <c r="B16" s="46" t="s">
        <v>129</v>
      </c>
      <c r="C16" s="50">
        <v>19854</v>
      </c>
      <c r="D16" s="44"/>
      <c r="E16" s="46" t="s">
        <v>129</v>
      </c>
      <c r="F16" s="50">
        <v>28903</v>
      </c>
      <c r="G16" s="44"/>
      <c r="H16" s="49">
        <v>25000</v>
      </c>
    </row>
    <row r="17" spans="2:8" x14ac:dyDescent="0.25">
      <c r="B17" s="46" t="s">
        <v>130</v>
      </c>
      <c r="C17" s="50">
        <v>76543</v>
      </c>
      <c r="D17" s="44"/>
      <c r="E17" s="46" t="s">
        <v>130</v>
      </c>
      <c r="F17" s="50">
        <v>66321</v>
      </c>
      <c r="G17" s="44"/>
      <c r="H17" s="49">
        <v>60000</v>
      </c>
    </row>
    <row r="18" spans="2:8" x14ac:dyDescent="0.25">
      <c r="B18" s="46" t="s">
        <v>131</v>
      </c>
      <c r="C18" s="50">
        <v>45329</v>
      </c>
      <c r="D18" s="44"/>
      <c r="E18" s="46" t="s">
        <v>131</v>
      </c>
      <c r="F18" s="50">
        <v>43234</v>
      </c>
      <c r="G18" s="44"/>
      <c r="H18" s="49">
        <v>35000</v>
      </c>
    </row>
    <row r="19" spans="2:8" x14ac:dyDescent="0.25">
      <c r="B19" s="46" t="s">
        <v>132</v>
      </c>
      <c r="C19" s="50">
        <v>99876</v>
      </c>
      <c r="D19" s="44"/>
      <c r="E19" s="46" t="s">
        <v>132</v>
      </c>
      <c r="F19" s="50">
        <v>87654</v>
      </c>
      <c r="G19" s="44"/>
      <c r="H19" s="49">
        <v>80000</v>
      </c>
    </row>
    <row r="20" spans="2:8" x14ac:dyDescent="0.25">
      <c r="B20" s="46" t="s">
        <v>133</v>
      </c>
      <c r="C20" s="50">
        <v>66543</v>
      </c>
      <c r="D20" s="44"/>
      <c r="E20" s="46" t="s">
        <v>133</v>
      </c>
      <c r="F20" s="50">
        <v>74987</v>
      </c>
      <c r="G20" s="44"/>
      <c r="H20" s="49">
        <v>80000</v>
      </c>
    </row>
    <row r="21" spans="2:8" x14ac:dyDescent="0.25">
      <c r="B21" s="46" t="s">
        <v>134</v>
      </c>
      <c r="C21" s="50">
        <v>124345</v>
      </c>
      <c r="D21" s="44"/>
      <c r="E21" s="46" t="s">
        <v>134</v>
      </c>
      <c r="F21" s="50">
        <v>144567</v>
      </c>
      <c r="G21" s="44"/>
      <c r="H21" s="49">
        <v>150000</v>
      </c>
    </row>
    <row r="22" spans="2:8" ht="15.75" thickBot="1" x14ac:dyDescent="0.3">
      <c r="B22" s="51" t="s">
        <v>135</v>
      </c>
      <c r="C22" s="52">
        <v>189773</v>
      </c>
      <c r="D22" s="44"/>
      <c r="E22" s="51" t="s">
        <v>135</v>
      </c>
      <c r="F22" s="52">
        <v>175876</v>
      </c>
      <c r="G22" s="44"/>
      <c r="H22" s="53">
        <v>180000</v>
      </c>
    </row>
  </sheetData>
  <mergeCells count="2">
    <mergeCell ref="B9:C9"/>
    <mergeCell ref="E9:F9"/>
  </mergeCells>
  <pageMargins left="0.511811024" right="0.511811024" top="0.78740157499999996" bottom="0.78740157499999996" header="0.31496062000000002" footer="0.31496062000000002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Plan7"/>
  <dimension ref="B7:Q34"/>
  <sheetViews>
    <sheetView showGridLines="0" topLeftCell="A4" workbookViewId="0">
      <selection activeCell="D18" sqref="D18"/>
    </sheetView>
  </sheetViews>
  <sheetFormatPr defaultRowHeight="15" x14ac:dyDescent="0.25"/>
  <cols>
    <col min="1" max="1" width="4.42578125" customWidth="1"/>
    <col min="2" max="2" width="13.28515625" customWidth="1"/>
    <col min="3" max="3" width="30.5703125" customWidth="1"/>
    <col min="4" max="4" width="14.42578125" customWidth="1"/>
    <col min="5" max="5" width="14" customWidth="1"/>
    <col min="6" max="6" width="3.140625" customWidth="1"/>
    <col min="7" max="7" width="12" bestFit="1" customWidth="1"/>
    <col min="8" max="8" width="31.140625" style="107" bestFit="1" customWidth="1"/>
    <col min="9" max="9" width="57.7109375" customWidth="1"/>
    <col min="10" max="10" width="18.5703125" customWidth="1"/>
    <col min="11" max="11" width="58.5703125" customWidth="1"/>
    <col min="12" max="12" width="21.42578125" customWidth="1"/>
    <col min="13" max="14" width="16.42578125" customWidth="1"/>
    <col min="15" max="15" width="21.85546875" customWidth="1"/>
    <col min="16" max="16" width="14.42578125" customWidth="1"/>
    <col min="17" max="17" width="14" customWidth="1"/>
  </cols>
  <sheetData>
    <row r="7" spans="2:17" ht="15.75" thickBot="1" x14ac:dyDescent="0.3"/>
    <row r="8" spans="2:17" ht="32.25" customHeight="1" x14ac:dyDescent="0.25">
      <c r="B8" s="64" t="s">
        <v>136</v>
      </c>
      <c r="C8" s="65" t="s">
        <v>22</v>
      </c>
      <c r="D8" s="65" t="s">
        <v>25</v>
      </c>
      <c r="E8" s="66" t="s">
        <v>23</v>
      </c>
      <c r="G8" s="64" t="s">
        <v>137</v>
      </c>
      <c r="H8" s="65" t="s">
        <v>138</v>
      </c>
      <c r="I8" s="65" t="s">
        <v>139</v>
      </c>
      <c r="J8" s="66" t="s">
        <v>140</v>
      </c>
      <c r="K8" s="66" t="s">
        <v>141</v>
      </c>
      <c r="L8" s="66" t="s">
        <v>142</v>
      </c>
      <c r="M8" s="88" t="s">
        <v>143</v>
      </c>
      <c r="N8" s="88" t="s">
        <v>144</v>
      </c>
      <c r="O8" s="66" t="s">
        <v>145</v>
      </c>
      <c r="P8" s="88" t="s">
        <v>146</v>
      </c>
      <c r="Q8" s="88" t="s">
        <v>147</v>
      </c>
    </row>
    <row r="9" spans="2:17" ht="15.95" customHeight="1" x14ac:dyDescent="0.25">
      <c r="B9" s="37">
        <v>2000</v>
      </c>
      <c r="C9" s="38" t="s">
        <v>106</v>
      </c>
      <c r="D9" s="40">
        <v>65</v>
      </c>
      <c r="E9" s="11" t="s">
        <v>148</v>
      </c>
      <c r="G9" s="37">
        <v>1</v>
      </c>
      <c r="H9" s="108" t="s">
        <v>149</v>
      </c>
      <c r="I9" s="40" t="s">
        <v>150</v>
      </c>
      <c r="J9" s="11" t="s">
        <v>151</v>
      </c>
      <c r="K9" s="11" t="s">
        <v>152</v>
      </c>
      <c r="L9" s="11" t="s">
        <v>153</v>
      </c>
      <c r="M9" s="89" t="s">
        <v>154</v>
      </c>
      <c r="N9" s="89" t="s">
        <v>155</v>
      </c>
      <c r="O9" s="92">
        <v>1174</v>
      </c>
      <c r="P9" s="90">
        <v>44441</v>
      </c>
      <c r="Q9" s="91">
        <v>0.48329861111111111</v>
      </c>
    </row>
    <row r="10" spans="2:17" ht="15.95" customHeight="1" x14ac:dyDescent="0.25">
      <c r="B10" s="37">
        <v>2001</v>
      </c>
      <c r="C10" s="38" t="s">
        <v>103</v>
      </c>
      <c r="D10" s="40">
        <v>399</v>
      </c>
      <c r="E10" s="11" t="s">
        <v>148</v>
      </c>
      <c r="G10" s="37">
        <v>2</v>
      </c>
      <c r="H10" s="108" t="s">
        <v>156</v>
      </c>
      <c r="I10" s="40" t="s">
        <v>157</v>
      </c>
      <c r="J10" s="11" t="s">
        <v>158</v>
      </c>
      <c r="K10" s="11" t="s">
        <v>159</v>
      </c>
      <c r="L10" s="11" t="s">
        <v>160</v>
      </c>
      <c r="M10" s="11" t="s">
        <v>161</v>
      </c>
      <c r="N10" s="11" t="s">
        <v>162</v>
      </c>
      <c r="O10" s="92">
        <v>5670</v>
      </c>
      <c r="P10" s="90">
        <v>44441</v>
      </c>
      <c r="Q10" s="91">
        <v>0.49075231481481479</v>
      </c>
    </row>
    <row r="11" spans="2:17" ht="15.95" customHeight="1" x14ac:dyDescent="0.25">
      <c r="B11" s="37">
        <v>2002</v>
      </c>
      <c r="C11" s="38" t="s">
        <v>107</v>
      </c>
      <c r="D11" s="40">
        <v>1890</v>
      </c>
      <c r="E11" s="11" t="s">
        <v>148</v>
      </c>
      <c r="G11" s="37">
        <v>3</v>
      </c>
      <c r="H11" s="108" t="s">
        <v>163</v>
      </c>
      <c r="I11" s="40" t="s">
        <v>164</v>
      </c>
      <c r="J11" s="11" t="s">
        <v>165</v>
      </c>
      <c r="K11" s="11" t="s">
        <v>166</v>
      </c>
      <c r="L11" s="11" t="s">
        <v>153</v>
      </c>
      <c r="M11" s="11" t="s">
        <v>167</v>
      </c>
      <c r="N11" s="11" t="s">
        <v>168</v>
      </c>
      <c r="O11" s="92">
        <v>120</v>
      </c>
      <c r="P11" s="90">
        <v>44441</v>
      </c>
      <c r="Q11" s="91">
        <v>0.48569444444444443</v>
      </c>
    </row>
    <row r="12" spans="2:17" ht="15.95" customHeight="1" x14ac:dyDescent="0.25">
      <c r="B12" s="37">
        <v>2003</v>
      </c>
      <c r="C12" s="38" t="s">
        <v>105</v>
      </c>
      <c r="D12" s="40">
        <v>550</v>
      </c>
      <c r="E12" s="11" t="s">
        <v>148</v>
      </c>
      <c r="G12" s="37">
        <v>4</v>
      </c>
      <c r="H12" s="108" t="s">
        <v>169</v>
      </c>
      <c r="I12" s="40" t="s">
        <v>170</v>
      </c>
      <c r="J12" s="11" t="s">
        <v>171</v>
      </c>
      <c r="K12" s="11" t="s">
        <v>172</v>
      </c>
      <c r="L12" s="11" t="s">
        <v>160</v>
      </c>
      <c r="M12" s="11" t="s">
        <v>173</v>
      </c>
      <c r="N12" s="11" t="s">
        <v>174</v>
      </c>
      <c r="O12" s="92">
        <v>145</v>
      </c>
      <c r="P12" s="90">
        <v>44441</v>
      </c>
      <c r="Q12" s="91">
        <v>0.49832175925925926</v>
      </c>
    </row>
    <row r="13" spans="2:17" ht="15.95" customHeight="1" x14ac:dyDescent="0.25">
      <c r="B13" s="37">
        <v>2004</v>
      </c>
      <c r="C13" s="10" t="s">
        <v>112</v>
      </c>
      <c r="D13" s="40">
        <v>1499</v>
      </c>
      <c r="E13" s="11" t="s">
        <v>175</v>
      </c>
      <c r="G13" s="37"/>
      <c r="H13" s="109"/>
      <c r="I13" s="40"/>
      <c r="J13" s="11"/>
      <c r="K13" s="11"/>
      <c r="L13" s="11"/>
      <c r="M13" s="11"/>
      <c r="N13" s="11"/>
      <c r="O13" s="92"/>
      <c r="P13" s="90"/>
      <c r="Q13" s="91"/>
    </row>
    <row r="14" spans="2:17" ht="15.95" customHeight="1" x14ac:dyDescent="0.25">
      <c r="B14" s="37">
        <v>2005</v>
      </c>
      <c r="C14" s="38" t="s">
        <v>114</v>
      </c>
      <c r="D14" s="40">
        <v>125</v>
      </c>
      <c r="E14" s="11" t="s">
        <v>175</v>
      </c>
      <c r="G14" s="37"/>
      <c r="H14" s="108"/>
      <c r="I14" s="40"/>
      <c r="J14" s="11"/>
      <c r="K14" s="11"/>
      <c r="L14" s="11"/>
      <c r="M14" s="11"/>
      <c r="N14" s="11"/>
      <c r="O14" s="92"/>
      <c r="P14" s="90"/>
      <c r="Q14" s="91"/>
    </row>
    <row r="15" spans="2:17" ht="15.95" customHeight="1" x14ac:dyDescent="0.25">
      <c r="B15" s="37">
        <v>2006</v>
      </c>
      <c r="C15" s="38" t="s">
        <v>109</v>
      </c>
      <c r="D15" s="40">
        <v>29</v>
      </c>
      <c r="E15" s="11" t="s">
        <v>148</v>
      </c>
      <c r="G15" s="37"/>
      <c r="H15" s="108"/>
      <c r="I15" s="40"/>
      <c r="J15" s="11"/>
      <c r="K15" s="11"/>
      <c r="L15" s="11"/>
      <c r="M15" s="11"/>
      <c r="N15" s="11"/>
      <c r="O15" s="92"/>
      <c r="P15" s="90"/>
      <c r="Q15" s="91"/>
    </row>
    <row r="16" spans="2:17" ht="15.95" customHeight="1" x14ac:dyDescent="0.25">
      <c r="B16" s="37">
        <v>2007</v>
      </c>
      <c r="C16" s="38" t="s">
        <v>108</v>
      </c>
      <c r="D16" s="40">
        <v>3120</v>
      </c>
      <c r="E16" s="11" t="s">
        <v>148</v>
      </c>
      <c r="G16" s="37"/>
      <c r="H16" s="108"/>
      <c r="I16" s="40"/>
      <c r="J16" s="11"/>
      <c r="K16" s="11"/>
      <c r="L16" s="11"/>
      <c r="M16" s="11"/>
      <c r="N16" s="11"/>
      <c r="O16" s="92"/>
      <c r="P16" s="11"/>
      <c r="Q16" s="11"/>
    </row>
    <row r="17" spans="2:17" ht="15.95" customHeight="1" x14ac:dyDescent="0.25">
      <c r="B17" s="37">
        <v>2008</v>
      </c>
      <c r="C17" s="38" t="s">
        <v>113</v>
      </c>
      <c r="D17" s="40">
        <v>145</v>
      </c>
      <c r="E17" s="11" t="s">
        <v>148</v>
      </c>
      <c r="G17" s="37"/>
      <c r="H17" s="108"/>
      <c r="I17" s="40"/>
      <c r="J17" s="11"/>
      <c r="K17" s="11"/>
      <c r="L17" s="11"/>
      <c r="M17" s="11"/>
      <c r="N17" s="11"/>
      <c r="O17" s="92"/>
      <c r="P17" s="11"/>
      <c r="Q17" s="11"/>
    </row>
    <row r="18" spans="2:17" ht="15.95" customHeight="1" x14ac:dyDescent="0.25">
      <c r="B18" s="37">
        <v>2009</v>
      </c>
      <c r="C18" s="38" t="s">
        <v>111</v>
      </c>
      <c r="D18" s="40">
        <v>120</v>
      </c>
      <c r="E18" s="11" t="s">
        <v>148</v>
      </c>
      <c r="G18" s="37"/>
      <c r="H18" s="108"/>
      <c r="I18" s="40"/>
      <c r="J18" s="11"/>
      <c r="K18" s="11"/>
      <c r="L18" s="11"/>
      <c r="M18" s="11"/>
      <c r="N18" s="11"/>
      <c r="O18" s="92"/>
      <c r="P18" s="11"/>
      <c r="Q18" s="11"/>
    </row>
    <row r="19" spans="2:17" ht="15.95" customHeight="1" x14ac:dyDescent="0.25">
      <c r="B19" s="37">
        <v>2010</v>
      </c>
      <c r="C19" s="38" t="s">
        <v>110</v>
      </c>
      <c r="D19" s="40">
        <v>98</v>
      </c>
      <c r="E19" s="11" t="s">
        <v>148</v>
      </c>
      <c r="G19" s="37"/>
      <c r="H19" s="108"/>
      <c r="I19" s="40"/>
      <c r="J19" s="11"/>
      <c r="K19" s="11"/>
      <c r="L19" s="11"/>
      <c r="M19" s="11"/>
      <c r="N19" s="11"/>
      <c r="O19" s="92"/>
      <c r="P19" s="11"/>
      <c r="Q19" s="11"/>
    </row>
    <row r="20" spans="2:17" ht="15.95" customHeight="1" x14ac:dyDescent="0.25">
      <c r="B20" s="37">
        <v>2011</v>
      </c>
      <c r="C20" s="38" t="s">
        <v>102</v>
      </c>
      <c r="D20" s="40">
        <v>35</v>
      </c>
      <c r="E20" s="11" t="s">
        <v>148</v>
      </c>
      <c r="G20" s="37"/>
      <c r="H20" s="108"/>
      <c r="I20" s="40"/>
      <c r="J20" s="11"/>
      <c r="K20" s="11"/>
      <c r="L20" s="11"/>
      <c r="M20" s="11"/>
      <c r="N20" s="11"/>
      <c r="O20" s="92"/>
      <c r="P20" s="11"/>
      <c r="Q20" s="11"/>
    </row>
    <row r="21" spans="2:17" ht="15.95" customHeight="1" x14ac:dyDescent="0.25">
      <c r="B21" s="37">
        <v>2012</v>
      </c>
      <c r="C21" s="38" t="s">
        <v>104</v>
      </c>
      <c r="D21" s="40">
        <v>235</v>
      </c>
      <c r="E21" s="11" t="s">
        <v>176</v>
      </c>
      <c r="G21" s="37"/>
      <c r="H21" s="108"/>
      <c r="I21" s="40"/>
      <c r="J21" s="11"/>
      <c r="K21" s="11"/>
      <c r="L21" s="11"/>
      <c r="M21" s="11"/>
      <c r="N21" s="11"/>
      <c r="O21" s="92"/>
      <c r="P21" s="11"/>
      <c r="Q21" s="11"/>
    </row>
    <row r="22" spans="2:17" ht="15.95" customHeight="1" x14ac:dyDescent="0.25">
      <c r="B22" s="37">
        <v>2013</v>
      </c>
      <c r="C22" t="s">
        <v>115</v>
      </c>
      <c r="D22" s="40">
        <v>12</v>
      </c>
      <c r="E22" s="11" t="s">
        <v>175</v>
      </c>
      <c r="G22" s="37"/>
      <c r="I22" s="40"/>
      <c r="J22" s="11"/>
      <c r="K22" s="11"/>
      <c r="L22" s="11"/>
      <c r="M22" s="11"/>
      <c r="N22" s="11"/>
      <c r="O22" s="92"/>
      <c r="P22" s="11"/>
      <c r="Q22" s="11"/>
    </row>
    <row r="23" spans="2:17" ht="15.95" customHeight="1" x14ac:dyDescent="0.25">
      <c r="B23" s="37">
        <v>2014</v>
      </c>
      <c r="C23" s="38" t="s">
        <v>177</v>
      </c>
      <c r="D23" s="40">
        <v>3190</v>
      </c>
      <c r="E23" s="11" t="s">
        <v>176</v>
      </c>
      <c r="G23" s="37"/>
      <c r="H23" s="108"/>
      <c r="I23" s="40"/>
      <c r="J23" s="11"/>
      <c r="K23" s="11"/>
      <c r="L23" s="11"/>
      <c r="M23" s="11"/>
      <c r="N23" s="11"/>
      <c r="O23" s="92"/>
      <c r="P23" s="11"/>
      <c r="Q23" s="11"/>
    </row>
    <row r="24" spans="2:17" ht="15.95" customHeight="1" x14ac:dyDescent="0.25">
      <c r="B24" s="37">
        <v>2015</v>
      </c>
      <c r="C24" s="10" t="s">
        <v>178</v>
      </c>
      <c r="D24" s="40">
        <v>632</v>
      </c>
      <c r="E24" s="11" t="s">
        <v>176</v>
      </c>
      <c r="G24" s="37"/>
      <c r="H24" s="109"/>
      <c r="I24" s="40"/>
      <c r="J24" s="11"/>
      <c r="K24" s="11"/>
      <c r="L24" s="11"/>
      <c r="M24" s="11"/>
      <c r="N24" s="11"/>
      <c r="O24" s="92"/>
      <c r="P24" s="11"/>
      <c r="Q24" s="11"/>
    </row>
    <row r="25" spans="2:17" ht="15.95" customHeight="1" x14ac:dyDescent="0.25">
      <c r="B25" s="37">
        <v>2016</v>
      </c>
      <c r="C25" s="38" t="s">
        <v>179</v>
      </c>
      <c r="D25" s="40">
        <v>587</v>
      </c>
      <c r="E25" s="11" t="s">
        <v>176</v>
      </c>
      <c r="G25" s="37"/>
      <c r="H25" s="108"/>
      <c r="I25" s="40"/>
      <c r="J25" s="11"/>
      <c r="K25" s="11"/>
      <c r="L25" s="11"/>
      <c r="M25" s="11"/>
      <c r="N25" s="11"/>
      <c r="O25" s="92"/>
      <c r="P25" s="11"/>
      <c r="Q25" s="11"/>
    </row>
    <row r="26" spans="2:17" ht="15.95" customHeight="1" x14ac:dyDescent="0.25">
      <c r="B26" s="37">
        <v>2017</v>
      </c>
      <c r="C26" s="38" t="s">
        <v>180</v>
      </c>
      <c r="D26" s="40">
        <v>899</v>
      </c>
      <c r="E26" s="11" t="s">
        <v>175</v>
      </c>
      <c r="G26" s="37"/>
      <c r="H26" s="108"/>
      <c r="I26" s="40"/>
      <c r="J26" s="11"/>
      <c r="K26" s="11"/>
      <c r="L26" s="11"/>
      <c r="M26" s="11"/>
      <c r="N26" s="11"/>
      <c r="O26" s="92"/>
      <c r="P26" s="11"/>
      <c r="Q26" s="11"/>
    </row>
    <row r="27" spans="2:17" ht="15.95" customHeight="1" x14ac:dyDescent="0.25">
      <c r="B27" s="37">
        <v>2018</v>
      </c>
      <c r="C27" s="38" t="s">
        <v>181</v>
      </c>
      <c r="D27" s="40">
        <v>190</v>
      </c>
      <c r="E27" s="11" t="s">
        <v>176</v>
      </c>
      <c r="G27" s="37"/>
      <c r="H27" s="108"/>
      <c r="I27" s="40"/>
      <c r="J27" s="11"/>
      <c r="K27" s="11"/>
      <c r="L27" s="11"/>
      <c r="M27" s="11"/>
      <c r="N27" s="11"/>
      <c r="O27" s="92"/>
      <c r="P27" s="11"/>
      <c r="Q27" s="11"/>
    </row>
    <row r="28" spans="2:17" ht="15.95" customHeight="1" x14ac:dyDescent="0.25">
      <c r="B28" s="37">
        <v>2019</v>
      </c>
      <c r="C28" s="38" t="s">
        <v>182</v>
      </c>
      <c r="D28" s="40">
        <v>115</v>
      </c>
      <c r="E28" s="11" t="s">
        <v>148</v>
      </c>
      <c r="G28" s="37"/>
      <c r="H28" s="108"/>
      <c r="I28" s="40"/>
      <c r="J28" s="11"/>
      <c r="K28" s="11"/>
      <c r="L28" s="11"/>
      <c r="M28" s="11"/>
      <c r="N28" s="11"/>
      <c r="O28" s="92"/>
      <c r="P28" s="11"/>
      <c r="Q28" s="11"/>
    </row>
    <row r="29" spans="2:17" ht="15.95" customHeight="1" x14ac:dyDescent="0.25">
      <c r="B29" s="37">
        <v>2020</v>
      </c>
      <c r="C29" s="10" t="s">
        <v>183</v>
      </c>
      <c r="D29" s="41">
        <v>15</v>
      </c>
      <c r="E29" s="11" t="s">
        <v>175</v>
      </c>
      <c r="G29" s="37"/>
      <c r="H29" s="109"/>
      <c r="I29" s="41"/>
      <c r="J29" s="11"/>
      <c r="K29" s="11"/>
      <c r="L29" s="11"/>
      <c r="M29" s="11"/>
      <c r="N29" s="11"/>
      <c r="O29" s="92"/>
      <c r="P29" s="11"/>
      <c r="Q29" s="11"/>
    </row>
    <row r="30" spans="2:17" ht="15.95" customHeight="1" x14ac:dyDescent="0.25">
      <c r="B30" s="37">
        <v>2021</v>
      </c>
      <c r="C30" s="10" t="s">
        <v>184</v>
      </c>
      <c r="D30" s="41">
        <v>10</v>
      </c>
      <c r="E30" s="11" t="s">
        <v>175</v>
      </c>
      <c r="G30" s="37"/>
      <c r="H30" s="109"/>
      <c r="I30" s="41"/>
      <c r="J30" s="11"/>
      <c r="K30" s="11"/>
      <c r="L30" s="11"/>
      <c r="M30" s="11"/>
      <c r="N30" s="11"/>
      <c r="O30" s="92"/>
      <c r="P30" s="11"/>
      <c r="Q30" s="11"/>
    </row>
    <row r="31" spans="2:17" ht="15.95" customHeight="1" x14ac:dyDescent="0.25">
      <c r="B31" s="37">
        <v>2022</v>
      </c>
      <c r="C31" t="s">
        <v>185</v>
      </c>
      <c r="D31" s="41">
        <v>3890</v>
      </c>
      <c r="E31" s="11" t="s">
        <v>176</v>
      </c>
      <c r="G31" s="37"/>
      <c r="I31" s="41"/>
      <c r="J31" s="11"/>
      <c r="K31" s="11"/>
      <c r="L31" s="11"/>
      <c r="M31" s="11"/>
      <c r="N31" s="11"/>
      <c r="O31" s="92"/>
      <c r="P31" s="11"/>
      <c r="Q31" s="11"/>
    </row>
    <row r="32" spans="2:17" ht="15.95" customHeight="1" x14ac:dyDescent="0.25">
      <c r="B32" s="37">
        <v>2023</v>
      </c>
      <c r="C32" s="10" t="s">
        <v>186</v>
      </c>
      <c r="D32" s="41">
        <v>180</v>
      </c>
      <c r="E32" s="11" t="s">
        <v>148</v>
      </c>
      <c r="G32" s="37"/>
      <c r="H32" s="109"/>
      <c r="I32" s="41"/>
      <c r="J32" s="11"/>
      <c r="K32" s="11"/>
      <c r="L32" s="11"/>
      <c r="M32" s="11"/>
      <c r="N32" s="11"/>
      <c r="O32" s="92"/>
      <c r="P32" s="11"/>
      <c r="Q32" s="11"/>
    </row>
    <row r="33" spans="2:17" ht="15.95" customHeight="1" x14ac:dyDescent="0.25">
      <c r="B33" s="37">
        <v>2024</v>
      </c>
      <c r="C33" s="10" t="s">
        <v>187</v>
      </c>
      <c r="D33" s="41">
        <v>660</v>
      </c>
      <c r="E33" s="11" t="s">
        <v>175</v>
      </c>
      <c r="G33" s="37"/>
      <c r="H33" s="109"/>
      <c r="I33" s="41"/>
      <c r="J33" s="11"/>
      <c r="K33" s="11"/>
      <c r="L33" s="11"/>
      <c r="M33" s="11"/>
      <c r="N33" s="11"/>
      <c r="O33" s="92"/>
      <c r="P33" s="11"/>
      <c r="Q33" s="11"/>
    </row>
    <row r="34" spans="2:17" ht="15.95" customHeight="1" thickBot="1" x14ac:dyDescent="0.3">
      <c r="B34" s="39">
        <v>2025</v>
      </c>
      <c r="C34" s="10" t="s">
        <v>188</v>
      </c>
      <c r="D34" s="42">
        <v>899</v>
      </c>
      <c r="E34" s="12" t="s">
        <v>176</v>
      </c>
      <c r="G34" s="39"/>
      <c r="H34" s="109"/>
      <c r="I34" s="42"/>
      <c r="J34" s="12"/>
      <c r="K34" s="12"/>
      <c r="L34" s="12"/>
      <c r="M34" s="12"/>
      <c r="N34" s="12"/>
      <c r="O34" s="93"/>
      <c r="P34" s="12"/>
      <c r="Q34" s="12"/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FA525D1BAF5E45498A18186E7D0FB776" ma:contentTypeVersion="10" ma:contentTypeDescription="Crie um novo documento." ma:contentTypeScope="" ma:versionID="63c1bbe9690474aa7d59be99736182f2">
  <xsd:schema xmlns:xsd="http://www.w3.org/2001/XMLSchema" xmlns:xs="http://www.w3.org/2001/XMLSchema" xmlns:p="http://schemas.microsoft.com/office/2006/metadata/properties" xmlns:ns2="99d36e0a-1892-4c93-a6ed-997123411f56" xmlns:ns3="ae2c38e5-2f96-4663-8a61-aaaf78e2193b" targetNamespace="http://schemas.microsoft.com/office/2006/metadata/properties" ma:root="true" ma:fieldsID="c69afbde652402922331790b898795d2" ns2:_="" ns3:_="">
    <xsd:import namespace="99d36e0a-1892-4c93-a6ed-997123411f56"/>
    <xsd:import namespace="ae2c38e5-2f96-4663-8a61-aaaf78e2193b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DateTaken" minOccurs="0"/>
                <xsd:element ref="ns2:MediaLengthInSeconds" minOccurs="0"/>
                <xsd:element ref="ns3:SharedWithUsers" minOccurs="0"/>
                <xsd:element ref="ns3:SharedWithDetails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9d36e0a-1892-4c93-a6ed-997123411f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DateTaken" ma:index="10" nillable="true" ma:displayName="MediaServiceDateTaken" ma:hidden="true" ma:internalName="MediaServiceDateTaken" ma:readOnly="true">
      <xsd:simpleType>
        <xsd:restriction base="dms:Text"/>
      </xsd:simpleType>
    </xsd:element>
    <xsd:element name="MediaLengthInSeconds" ma:index="11" nillable="true" ma:displayName="Length (seconds)" ma:internalName="MediaLengthInSeconds" ma:readOnly="true">
      <xsd:simpleType>
        <xsd:restriction base="dms:Unknown"/>
      </xsd:simpleType>
    </xsd:element>
    <xsd:element name="MediaServiceAutoTags" ma:index="14" nillable="true" ma:displayName="Tags" ma:internalName="MediaServiceAutoTags" ma:readOnly="true">
      <xsd:simpleType>
        <xsd:restriction base="dms:Text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2c38e5-2f96-4663-8a61-aaaf78e2193b" elementFormDefault="qualified">
    <xsd:import namespace="http://schemas.microsoft.com/office/2006/documentManagement/types"/>
    <xsd:import namespace="http://schemas.microsoft.com/office/infopath/2007/PartnerControls"/>
    <xsd:element name="SharedWithUsers" ma:index="12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3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35CC0F14-6850-466A-8EA6-1E999225CC64}">
  <ds:schemaRefs>
    <ds:schemaRef ds:uri="http://purl.org/dc/terms/"/>
    <ds:schemaRef ds:uri="http://www.w3.org/XML/1998/namespace"/>
    <ds:schemaRef ds:uri="http://schemas.microsoft.com/office/2006/metadata/properties"/>
    <ds:schemaRef ds:uri="http://purl.org/dc/elements/1.1/"/>
    <ds:schemaRef ds:uri="http://purl.org/dc/dcmitype/"/>
    <ds:schemaRef ds:uri="http://schemas.microsoft.com/office/2006/documentManagement/types"/>
    <ds:schemaRef ds:uri="99d36e0a-1892-4c93-a6ed-997123411f56"/>
    <ds:schemaRef ds:uri="http://schemas.openxmlformats.org/package/2006/metadata/core-properties"/>
    <ds:schemaRef ds:uri="http://schemas.microsoft.com/office/infopath/2007/PartnerControls"/>
    <ds:schemaRef ds:uri="ae2c38e5-2f96-4663-8a61-aaaf78e2193b"/>
  </ds:schemaRefs>
</ds:datastoreItem>
</file>

<file path=customXml/itemProps2.xml><?xml version="1.0" encoding="utf-8"?>
<ds:datastoreItem xmlns:ds="http://schemas.openxmlformats.org/officeDocument/2006/customXml" ds:itemID="{75BC847D-202C-4802-8B3A-373E751F5B66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60609CE-EE70-4143-A20A-CDA1B2956F2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9d36e0a-1892-4c93-a6ed-997123411f56"/>
    <ds:schemaRef ds:uri="ae2c38e5-2f96-4663-8a61-aaaf78e2193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8</vt:i4>
      </vt:variant>
      <vt:variant>
        <vt:lpstr>Gráficos</vt:lpstr>
      </vt:variant>
      <vt:variant>
        <vt:i4>1</vt:i4>
      </vt:variant>
    </vt:vector>
  </HeadingPairs>
  <TitlesOfParts>
    <vt:vector size="9" baseType="lpstr">
      <vt:lpstr>HOME</vt:lpstr>
      <vt:lpstr>CONTAS LOGIN</vt:lpstr>
      <vt:lpstr>VENDAS</vt:lpstr>
      <vt:lpstr>APURAÇÃO SUBTOTAIS</vt:lpstr>
      <vt:lpstr>CONSOLIDAÇÃO VALORES</vt:lpstr>
      <vt:lpstr>TABELA DINÂMICA</vt:lpstr>
      <vt:lpstr>DADOS GRÁFICO</vt:lpstr>
      <vt:lpstr>PEDIDOS</vt:lpstr>
      <vt:lpstr>FINANÇAS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Humberto</dc:creator>
  <cp:keywords/>
  <dc:description/>
  <cp:lastModifiedBy>ANA GIULIA SENRA NASCIMENTO</cp:lastModifiedBy>
  <cp:revision/>
  <dcterms:created xsi:type="dcterms:W3CDTF">2011-05-09T13:39:36Z</dcterms:created>
  <dcterms:modified xsi:type="dcterms:W3CDTF">2021-09-29T19:02:47Z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0x010100FA525D1BAF5E45498A18186E7D0FB776</vt:lpwstr>
  </property>
</Properties>
</file>